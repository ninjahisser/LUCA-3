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LUCA-3\Vakken\Creatief en ondernemend\"/>
    </mc:Choice>
  </mc:AlternateContent>
  <xr:revisionPtr revIDLastSave="0" documentId="13_ncr:1_{A5449DF6-86C1-4A91-9759-ECC51E3DF3B0}" xr6:coauthVersionLast="47" xr6:coauthVersionMax="47" xr10:uidLastSave="{00000000-0000-0000-0000-000000000000}"/>
  <bookViews>
    <workbookView xWindow="-120" yWindow="-120" windowWidth="29040" windowHeight="15720" xr2:uid="{6114E79C-73A9-4DC0-AB1F-410F538242F2}"/>
  </bookViews>
  <sheets>
    <sheet name="Investeringsbegroting" sheetId="1" r:id="rId1"/>
    <sheet name="Financieringsplan" sheetId="2" r:id="rId2"/>
    <sheet name="Exploitatiebegroting" sheetId="3" r:id="rId3"/>
    <sheet name="Liquiditeitsbegrot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4" l="1"/>
  <c r="D16" i="4"/>
  <c r="E16" i="4"/>
  <c r="F16" i="4"/>
  <c r="G16" i="4"/>
  <c r="H16" i="4"/>
  <c r="I16" i="4"/>
  <c r="J16" i="4"/>
  <c r="K16" i="4"/>
  <c r="L16" i="4"/>
  <c r="M16" i="4"/>
  <c r="N16" i="4"/>
  <c r="B16" i="4"/>
  <c r="C11" i="4"/>
  <c r="D11" i="4"/>
  <c r="E11" i="4"/>
  <c r="F11" i="4"/>
  <c r="G11" i="4"/>
  <c r="H11" i="4"/>
  <c r="I11" i="4"/>
  <c r="I13" i="4" s="1"/>
  <c r="J11" i="4"/>
  <c r="J13" i="4" s="1"/>
  <c r="K11" i="4"/>
  <c r="K13" i="4" s="1"/>
  <c r="L11" i="4"/>
  <c r="M11" i="4"/>
  <c r="M13" i="4" s="1"/>
  <c r="B11" i="4"/>
  <c r="C13" i="4"/>
  <c r="D13" i="4"/>
  <c r="E13" i="4"/>
  <c r="F13" i="4"/>
  <c r="G13" i="4"/>
  <c r="H13" i="4"/>
  <c r="L13" i="4"/>
  <c r="N12" i="4"/>
  <c r="N10" i="4"/>
  <c r="C7" i="4"/>
  <c r="D7" i="4"/>
  <c r="E7" i="4"/>
  <c r="F7" i="4"/>
  <c r="G7" i="4"/>
  <c r="H7" i="4"/>
  <c r="I7" i="4"/>
  <c r="J7" i="4"/>
  <c r="K7" i="4"/>
  <c r="L7" i="4"/>
  <c r="M7" i="4"/>
  <c r="B7" i="4"/>
  <c r="N5" i="4"/>
  <c r="N6" i="4"/>
  <c r="N4" i="4"/>
  <c r="B15" i="3"/>
  <c r="N12" i="3"/>
  <c r="N13" i="3"/>
  <c r="N14" i="3"/>
  <c r="N11" i="3"/>
  <c r="C15" i="3"/>
  <c r="D15" i="3"/>
  <c r="E15" i="3"/>
  <c r="F15" i="3"/>
  <c r="G15" i="3"/>
  <c r="G18" i="3" s="1"/>
  <c r="H15" i="3"/>
  <c r="I15" i="3"/>
  <c r="J15" i="3"/>
  <c r="K15" i="3"/>
  <c r="L15" i="3"/>
  <c r="M15" i="3"/>
  <c r="B8" i="3"/>
  <c r="C8" i="3"/>
  <c r="D8" i="3"/>
  <c r="E8" i="3"/>
  <c r="F8" i="3"/>
  <c r="G8" i="3"/>
  <c r="H8" i="3"/>
  <c r="I8" i="3"/>
  <c r="I18" i="3" s="1"/>
  <c r="J8" i="3"/>
  <c r="K8" i="3"/>
  <c r="L8" i="3"/>
  <c r="M8" i="3"/>
  <c r="N5" i="3"/>
  <c r="N6" i="3"/>
  <c r="N7" i="3"/>
  <c r="N4" i="3"/>
  <c r="N5" i="1"/>
  <c r="N6" i="1"/>
  <c r="N7" i="1"/>
  <c r="N8" i="1"/>
  <c r="N9" i="1"/>
  <c r="N10" i="1"/>
  <c r="N4" i="1"/>
  <c r="E21" i="1"/>
  <c r="B21" i="1"/>
  <c r="D15" i="1"/>
  <c r="D16" i="1"/>
  <c r="D17" i="1"/>
  <c r="D18" i="1"/>
  <c r="D19" i="1"/>
  <c r="D20" i="1"/>
  <c r="D14" i="1"/>
  <c r="N11" i="4" l="1"/>
  <c r="N13" i="4" s="1"/>
  <c r="B13" i="4"/>
  <c r="N7" i="4"/>
  <c r="M18" i="3"/>
  <c r="L18" i="3"/>
  <c r="K18" i="3"/>
  <c r="J18" i="3"/>
  <c r="H18" i="3"/>
  <c r="F18" i="3"/>
  <c r="E18" i="3"/>
  <c r="D18" i="3"/>
  <c r="C18" i="3"/>
  <c r="B18" i="3"/>
  <c r="C19" i="3" s="1"/>
  <c r="N15" i="3"/>
  <c r="N8" i="3"/>
  <c r="N11" i="1"/>
  <c r="D21" i="1"/>
  <c r="D19" i="3" l="1"/>
  <c r="E19" i="3" s="1"/>
  <c r="F19" i="3" s="1"/>
  <c r="G19" i="3" s="1"/>
  <c r="H19" i="3" s="1"/>
  <c r="I19" i="3" s="1"/>
  <c r="J19" i="3" s="1"/>
  <c r="K19" i="3" s="1"/>
  <c r="L19" i="3" s="1"/>
  <c r="M19" i="3" s="1"/>
  <c r="N18" i="3"/>
  <c r="N19" i="3" l="1"/>
</calcChain>
</file>

<file path=xl/sharedStrings.xml><?xml version="1.0" encoding="utf-8"?>
<sst xmlns="http://schemas.openxmlformats.org/spreadsheetml/2006/main" count="70" uniqueCount="41">
  <si>
    <t>Investeringsbegroting</t>
  </si>
  <si>
    <t>Investeringen</t>
  </si>
  <si>
    <t>Jaar 1</t>
  </si>
  <si>
    <t>Computer</t>
  </si>
  <si>
    <t>Adobe Suite</t>
  </si>
  <si>
    <t>Internet abonnement</t>
  </si>
  <si>
    <t>Verzekeringen</t>
  </si>
  <si>
    <t>Marketing</t>
  </si>
  <si>
    <t>Afschrijvingen</t>
  </si>
  <si>
    <t>Totaal</t>
  </si>
  <si>
    <t>Afschrijvingstabel</t>
  </si>
  <si>
    <t>Aankoopprijs</t>
  </si>
  <si>
    <t>Afschrijvingstermijn</t>
  </si>
  <si>
    <t>Jaarlijkse afschrijving</t>
  </si>
  <si>
    <t>Waarde jaar 1</t>
  </si>
  <si>
    <t>Computerbenodigheden</t>
  </si>
  <si>
    <t>Financieringsplan</t>
  </si>
  <si>
    <t>Eigen vermogen</t>
  </si>
  <si>
    <t>In speciem</t>
  </si>
  <si>
    <t>Vreemd vermogen</t>
  </si>
  <si>
    <t>Lening</t>
  </si>
  <si>
    <t>In natura</t>
  </si>
  <si>
    <t>Explotatiebegroting</t>
  </si>
  <si>
    <t>Opbrengsten</t>
  </si>
  <si>
    <t>Huisstijl</t>
  </si>
  <si>
    <t>Website ontwerp</t>
  </si>
  <si>
    <t>Website uitwerking</t>
  </si>
  <si>
    <t>Hosting</t>
  </si>
  <si>
    <t>Kosten</t>
  </si>
  <si>
    <t>Directe kosten</t>
  </si>
  <si>
    <t>Indirecte kosten</t>
  </si>
  <si>
    <t>Lonen</t>
  </si>
  <si>
    <t>Winst/verlies</t>
  </si>
  <si>
    <t>Cumulatief</t>
  </si>
  <si>
    <t>Liquiditeitsbegroting</t>
  </si>
  <si>
    <t>Inkomsten</t>
  </si>
  <si>
    <t>Kapitaal</t>
  </si>
  <si>
    <t>Exploitatie</t>
  </si>
  <si>
    <t>Uitgaven</t>
  </si>
  <si>
    <t>Belastingen</t>
  </si>
  <si>
    <t>Saldo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</si>
</sst>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5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3" tint="0.749992370372631"/>
      </bottom>
      <diagonal/>
    </border>
    <border>
      <left/>
      <right/>
      <top style="thin">
        <color theme="3" tint="0.749992370372631"/>
      </top>
      <bottom style="thin">
        <color theme="3" tint="0.749992370372631"/>
      </bottom>
      <diagonal/>
    </border>
    <border>
      <left style="thin">
        <color theme="3" tint="0.749992370372631"/>
      </left>
      <right style="thin">
        <color theme="3" tint="0.749992370372631"/>
      </right>
      <top style="thin">
        <color theme="3" tint="0.749992370372631"/>
      </top>
      <bottom style="thin">
        <color theme="3" tint="0.74999237037263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0" fillId="2" borderId="0" xfId="0" applyFill="1"/>
    <xf numFmtId="0" fontId="1" fillId="2" borderId="0" xfId="0" applyFont="1" applyFill="1"/>
    <xf numFmtId="0" fontId="1" fillId="3" borderId="0" xfId="0" applyFont="1" applyFill="1"/>
    <xf numFmtId="0" fontId="1" fillId="3" borderId="0" xfId="0" applyFont="1" applyFill="1" applyAlignment="1">
      <alignment horizontal="right"/>
    </xf>
    <xf numFmtId="0" fontId="0" fillId="2" borderId="1" xfId="0" applyFill="1" applyBorder="1"/>
    <xf numFmtId="0" fontId="0" fillId="2" borderId="2" xfId="0" applyFill="1" applyBorder="1"/>
    <xf numFmtId="0" fontId="0" fillId="3" borderId="0" xfId="0" applyFill="1"/>
    <xf numFmtId="0" fontId="0" fillId="2" borderId="3" xfId="0" applyFill="1" applyBorder="1"/>
    <xf numFmtId="0" fontId="0" fillId="2" borderId="3" xfId="0" applyFont="1" applyFill="1" applyBorder="1"/>
    <xf numFmtId="0" fontId="1" fillId="2" borderId="3" xfId="0" applyFont="1" applyFill="1" applyBorder="1"/>
    <xf numFmtId="3" fontId="0" fillId="2" borderId="0" xfId="0" applyNumberFormat="1" applyFill="1"/>
    <xf numFmtId="3" fontId="0" fillId="2" borderId="3" xfId="0" applyNumberFormat="1" applyFill="1" applyBorder="1"/>
    <xf numFmtId="3" fontId="1" fillId="2" borderId="3" xfId="0" applyNumberFormat="1" applyFont="1" applyFill="1" applyBorder="1"/>
    <xf numFmtId="0" fontId="1" fillId="3" borderId="0" xfId="0" applyFont="1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2DCDB-1C40-4BF1-86FF-7355FE1C2CFA}">
  <dimension ref="A1:N21"/>
  <sheetViews>
    <sheetView tabSelected="1" zoomScale="85" zoomScaleNormal="85" workbookViewId="0">
      <selection activeCell="D27" sqref="D27"/>
    </sheetView>
  </sheetViews>
  <sheetFormatPr defaultRowHeight="15" x14ac:dyDescent="0.25"/>
  <cols>
    <col min="1" max="1" width="20.140625" customWidth="1"/>
    <col min="2" max="14" width="20.7109375" customWidth="1"/>
  </cols>
  <sheetData>
    <row r="1" spans="1:14" ht="66" x14ac:dyDescent="1">
      <c r="A1" s="1" t="s">
        <v>0</v>
      </c>
    </row>
    <row r="3" spans="1:14" x14ac:dyDescent="0.25">
      <c r="A3" s="4" t="s">
        <v>1</v>
      </c>
      <c r="B3" s="4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4">
        <v>7</v>
      </c>
      <c r="I3" s="4">
        <v>8</v>
      </c>
      <c r="J3" s="4">
        <v>9</v>
      </c>
      <c r="K3" s="4">
        <v>10</v>
      </c>
      <c r="L3" s="4">
        <v>11</v>
      </c>
      <c r="M3" s="4">
        <v>12</v>
      </c>
      <c r="N3" s="5" t="s">
        <v>2</v>
      </c>
    </row>
    <row r="4" spans="1:14" x14ac:dyDescent="0.25">
      <c r="A4" s="6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>
        <f>SUM(B4:M4)</f>
        <v>0</v>
      </c>
    </row>
    <row r="5" spans="1:14" x14ac:dyDescent="0.25">
      <c r="A5" s="6" t="s">
        <v>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>
        <f t="shared" ref="N5:N10" si="0">SUM(B5:M5)</f>
        <v>0</v>
      </c>
    </row>
    <row r="6" spans="1:14" x14ac:dyDescent="0.25">
      <c r="A6" s="7" t="s">
        <v>15</v>
      </c>
      <c r="B6" s="7"/>
      <c r="C6" s="7"/>
      <c r="D6" s="7"/>
      <c r="E6" s="7">
        <v>100</v>
      </c>
      <c r="F6" s="7"/>
      <c r="G6" s="7"/>
      <c r="H6" s="7"/>
      <c r="I6" s="7">
        <v>150</v>
      </c>
      <c r="J6" s="7"/>
      <c r="K6" s="7"/>
      <c r="L6" s="7"/>
      <c r="M6" s="7"/>
      <c r="N6" s="7">
        <f t="shared" si="0"/>
        <v>250</v>
      </c>
    </row>
    <row r="7" spans="1:14" x14ac:dyDescent="0.25">
      <c r="A7" s="7" t="s">
        <v>5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>
        <f>SUM(B7:M7)</f>
        <v>0</v>
      </c>
    </row>
    <row r="8" spans="1:14" x14ac:dyDescent="0.25">
      <c r="A8" s="6" t="s">
        <v>6</v>
      </c>
      <c r="B8" s="6">
        <v>600</v>
      </c>
      <c r="C8" s="6"/>
      <c r="D8" s="6"/>
      <c r="E8" s="6"/>
      <c r="F8" s="6"/>
      <c r="G8" s="6"/>
      <c r="H8" s="6">
        <v>600</v>
      </c>
      <c r="I8" s="6"/>
      <c r="J8" s="6"/>
      <c r="K8" s="6"/>
      <c r="L8" s="6"/>
      <c r="M8" s="6"/>
      <c r="N8" s="6">
        <f>SUM(B8:M8)</f>
        <v>1200</v>
      </c>
    </row>
    <row r="9" spans="1:14" x14ac:dyDescent="0.25">
      <c r="A9" s="6" t="s">
        <v>7</v>
      </c>
      <c r="B9" s="6">
        <v>200</v>
      </c>
      <c r="C9" s="6">
        <v>100</v>
      </c>
      <c r="D9" s="6">
        <v>500</v>
      </c>
      <c r="E9" s="6">
        <v>600</v>
      </c>
      <c r="F9" s="6">
        <v>0</v>
      </c>
      <c r="G9" s="6">
        <v>100</v>
      </c>
      <c r="H9" s="6">
        <v>300</v>
      </c>
      <c r="I9" s="6">
        <v>200</v>
      </c>
      <c r="J9" s="6">
        <v>50</v>
      </c>
      <c r="K9" s="6">
        <v>50</v>
      </c>
      <c r="L9" s="6">
        <v>200</v>
      </c>
      <c r="M9" s="6">
        <v>100</v>
      </c>
      <c r="N9" s="6">
        <f t="shared" si="0"/>
        <v>2400</v>
      </c>
    </row>
    <row r="10" spans="1:14" x14ac:dyDescent="0.25">
      <c r="A10" s="7" t="s">
        <v>8</v>
      </c>
      <c r="B10" s="7">
        <v>75</v>
      </c>
      <c r="C10" s="7">
        <v>75</v>
      </c>
      <c r="D10" s="7">
        <v>75</v>
      </c>
      <c r="E10" s="7">
        <v>75</v>
      </c>
      <c r="F10" s="7">
        <v>75</v>
      </c>
      <c r="G10" s="7">
        <v>75</v>
      </c>
      <c r="H10" s="7">
        <v>75</v>
      </c>
      <c r="I10" s="7">
        <v>75</v>
      </c>
      <c r="J10" s="7">
        <v>100</v>
      </c>
      <c r="K10" s="7">
        <v>100</v>
      </c>
      <c r="L10" s="7">
        <v>100</v>
      </c>
      <c r="M10" s="7">
        <v>100</v>
      </c>
      <c r="N10" s="7">
        <f t="shared" si="0"/>
        <v>1000</v>
      </c>
    </row>
    <row r="11" spans="1:14" x14ac:dyDescent="0.25">
      <c r="A11" s="11" t="s">
        <v>9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11">
        <f>SUM(N4:N10)</f>
        <v>4850</v>
      </c>
    </row>
    <row r="13" spans="1:14" x14ac:dyDescent="0.25">
      <c r="A13" s="4" t="s">
        <v>10</v>
      </c>
      <c r="B13" s="4" t="s">
        <v>11</v>
      </c>
      <c r="C13" s="4" t="s">
        <v>12</v>
      </c>
      <c r="D13" s="4" t="s">
        <v>13</v>
      </c>
      <c r="E13" s="4" t="s">
        <v>14</v>
      </c>
    </row>
    <row r="14" spans="1:14" x14ac:dyDescent="0.25">
      <c r="A14" s="6" t="s">
        <v>3</v>
      </c>
      <c r="B14" s="6">
        <v>2500</v>
      </c>
      <c r="C14" s="6">
        <v>5</v>
      </c>
      <c r="D14" s="6">
        <f xml:space="preserve"> B14 / C14</f>
        <v>500</v>
      </c>
      <c r="E14" s="6">
        <v>1000</v>
      </c>
    </row>
    <row r="15" spans="1:14" x14ac:dyDescent="0.25">
      <c r="A15" s="7" t="s">
        <v>4</v>
      </c>
      <c r="B15" s="7">
        <v>660</v>
      </c>
      <c r="C15" s="7">
        <v>12</v>
      </c>
      <c r="D15" s="7">
        <f t="shared" ref="D15:D20" si="1" xml:space="preserve"> B15 / C15</f>
        <v>55</v>
      </c>
      <c r="E15" s="7">
        <v>0</v>
      </c>
    </row>
    <row r="16" spans="1:14" x14ac:dyDescent="0.25">
      <c r="A16" s="7" t="s">
        <v>15</v>
      </c>
      <c r="B16" s="7">
        <v>500</v>
      </c>
      <c r="C16" s="7">
        <v>5</v>
      </c>
      <c r="D16" s="7">
        <f t="shared" si="1"/>
        <v>100</v>
      </c>
      <c r="E16" s="7">
        <v>250</v>
      </c>
    </row>
    <row r="17" spans="1:5" x14ac:dyDescent="0.25">
      <c r="A17" s="7" t="s">
        <v>5</v>
      </c>
      <c r="B17" s="7">
        <v>1200</v>
      </c>
      <c r="C17" s="7">
        <v>12</v>
      </c>
      <c r="D17" s="7">
        <f t="shared" si="1"/>
        <v>100</v>
      </c>
      <c r="E17" s="7">
        <v>0</v>
      </c>
    </row>
    <row r="18" spans="1:5" x14ac:dyDescent="0.25">
      <c r="A18" s="7" t="s">
        <v>6</v>
      </c>
      <c r="B18" s="7">
        <v>1200</v>
      </c>
      <c r="C18" s="7">
        <v>12</v>
      </c>
      <c r="D18" s="7">
        <f t="shared" si="1"/>
        <v>100</v>
      </c>
      <c r="E18" s="7">
        <v>1200</v>
      </c>
    </row>
    <row r="19" spans="1:5" x14ac:dyDescent="0.25">
      <c r="A19" s="7" t="s">
        <v>7</v>
      </c>
      <c r="B19" s="7">
        <v>2400</v>
      </c>
      <c r="C19" s="7">
        <v>12</v>
      </c>
      <c r="D19" s="7">
        <f t="shared" si="1"/>
        <v>200</v>
      </c>
      <c r="E19" s="7">
        <v>2400</v>
      </c>
    </row>
    <row r="20" spans="1:5" x14ac:dyDescent="0.25">
      <c r="A20" s="7" t="s">
        <v>8</v>
      </c>
      <c r="B20" s="7">
        <v>1000</v>
      </c>
      <c r="C20" s="7">
        <v>10</v>
      </c>
      <c r="D20" s="7">
        <f t="shared" si="1"/>
        <v>100</v>
      </c>
      <c r="E20" s="7">
        <v>1000</v>
      </c>
    </row>
    <row r="21" spans="1:5" x14ac:dyDescent="0.25">
      <c r="A21" s="11" t="s">
        <v>9</v>
      </c>
      <c r="B21" s="11">
        <f>SUM(B14:B20)</f>
        <v>9460</v>
      </c>
      <c r="C21" s="11"/>
      <c r="D21" s="11">
        <f>SUM(D14:D20)</f>
        <v>1155</v>
      </c>
      <c r="E21" s="11">
        <f>SUM(E14:E20)</f>
        <v>5850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00766-FEF3-4C24-A0D3-262274EB53FF}">
  <dimension ref="A1:B19"/>
  <sheetViews>
    <sheetView workbookViewId="0">
      <selection activeCell="B21" sqref="B21"/>
    </sheetView>
  </sheetViews>
  <sheetFormatPr defaultRowHeight="15" x14ac:dyDescent="0.25"/>
  <cols>
    <col min="1" max="1" width="40.7109375" customWidth="1"/>
    <col min="2" max="2" width="20.7109375" customWidth="1"/>
  </cols>
  <sheetData>
    <row r="1" spans="1:2" ht="66" x14ac:dyDescent="1">
      <c r="A1" s="1" t="s">
        <v>16</v>
      </c>
    </row>
    <row r="3" spans="1:2" x14ac:dyDescent="0.25">
      <c r="A3" s="4" t="s">
        <v>17</v>
      </c>
      <c r="B3" s="8"/>
    </row>
    <row r="4" spans="1:2" x14ac:dyDescent="0.25">
      <c r="A4" s="9" t="s">
        <v>21</v>
      </c>
      <c r="B4" s="9"/>
    </row>
    <row r="5" spans="1:2" x14ac:dyDescent="0.25">
      <c r="A5" s="9" t="s">
        <v>3</v>
      </c>
      <c r="B5" s="6">
        <v>2500</v>
      </c>
    </row>
    <row r="6" spans="1:2" x14ac:dyDescent="0.25">
      <c r="A6" s="9" t="s">
        <v>4</v>
      </c>
      <c r="B6" s="7">
        <v>660</v>
      </c>
    </row>
    <row r="7" spans="1:2" x14ac:dyDescent="0.25">
      <c r="A7" s="9" t="s">
        <v>15</v>
      </c>
      <c r="B7" s="7">
        <v>500</v>
      </c>
    </row>
    <row r="8" spans="1:2" x14ac:dyDescent="0.25">
      <c r="A8" s="9" t="s">
        <v>5</v>
      </c>
      <c r="B8" s="7">
        <v>1200</v>
      </c>
    </row>
    <row r="9" spans="1:2" x14ac:dyDescent="0.25">
      <c r="A9" s="9" t="s">
        <v>6</v>
      </c>
      <c r="B9" s="7">
        <v>1200</v>
      </c>
    </row>
    <row r="10" spans="1:2" x14ac:dyDescent="0.25">
      <c r="A10" s="9" t="s">
        <v>7</v>
      </c>
      <c r="B10" s="7">
        <v>2400</v>
      </c>
    </row>
    <row r="11" spans="1:2" x14ac:dyDescent="0.25">
      <c r="A11" s="9" t="s">
        <v>8</v>
      </c>
      <c r="B11" s="7">
        <v>1000</v>
      </c>
    </row>
    <row r="12" spans="1:2" x14ac:dyDescent="0.25">
      <c r="A12" s="9"/>
      <c r="B12" s="9"/>
    </row>
    <row r="13" spans="1:2" x14ac:dyDescent="0.25">
      <c r="A13" s="9" t="s">
        <v>18</v>
      </c>
      <c r="B13" s="9">
        <v>8000</v>
      </c>
    </row>
    <row r="14" spans="1:2" x14ac:dyDescent="0.25">
      <c r="A14" s="9"/>
      <c r="B14" s="9"/>
    </row>
    <row r="15" spans="1:2" x14ac:dyDescent="0.25">
      <c r="A15" s="9" t="s">
        <v>9</v>
      </c>
      <c r="B15" s="9"/>
    </row>
    <row r="17" spans="1:2" x14ac:dyDescent="0.25">
      <c r="A17" s="4" t="s">
        <v>19</v>
      </c>
      <c r="B17" s="8"/>
    </row>
    <row r="18" spans="1:2" x14ac:dyDescent="0.25">
      <c r="A18" s="10"/>
      <c r="B18" s="9"/>
    </row>
    <row r="19" spans="1:2" x14ac:dyDescent="0.25">
      <c r="A19" s="9" t="s">
        <v>9</v>
      </c>
      <c r="B19" s="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8D8F2-1EC0-477E-8039-72C31107029D}">
  <dimension ref="A1:N19"/>
  <sheetViews>
    <sheetView zoomScale="85" zoomScaleNormal="85" workbookViewId="0">
      <selection activeCell="B8" sqref="B8"/>
    </sheetView>
  </sheetViews>
  <sheetFormatPr defaultRowHeight="15" x14ac:dyDescent="0.25"/>
  <cols>
    <col min="1" max="14" width="20.7109375" customWidth="1"/>
  </cols>
  <sheetData>
    <row r="1" spans="1:14" ht="66" x14ac:dyDescent="1">
      <c r="A1" s="1" t="s">
        <v>22</v>
      </c>
    </row>
    <row r="3" spans="1:14" x14ac:dyDescent="0.25">
      <c r="A3" s="4" t="s">
        <v>23</v>
      </c>
      <c r="B3" s="4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4">
        <v>7</v>
      </c>
      <c r="I3" s="4">
        <v>8</v>
      </c>
      <c r="J3" s="4">
        <v>9</v>
      </c>
      <c r="K3" s="4">
        <v>10</v>
      </c>
      <c r="L3" s="4">
        <v>11</v>
      </c>
      <c r="M3" s="4">
        <v>12</v>
      </c>
      <c r="N3" s="5" t="s">
        <v>2</v>
      </c>
    </row>
    <row r="4" spans="1:14" x14ac:dyDescent="0.25">
      <c r="A4" s="9" t="s">
        <v>24</v>
      </c>
      <c r="B4" s="9">
        <v>1000</v>
      </c>
      <c r="C4" s="9"/>
      <c r="D4" s="9">
        <v>1400</v>
      </c>
      <c r="E4" s="9"/>
      <c r="F4" s="9">
        <v>1320</v>
      </c>
      <c r="G4" s="9"/>
      <c r="H4" s="9"/>
      <c r="I4" s="9">
        <v>1500</v>
      </c>
      <c r="J4" s="9"/>
      <c r="K4" s="9"/>
      <c r="L4" s="9">
        <v>1200</v>
      </c>
      <c r="M4" s="9">
        <v>1050</v>
      </c>
      <c r="N4" s="9">
        <f>SUM(B4:M4)</f>
        <v>7470</v>
      </c>
    </row>
    <row r="5" spans="1:14" x14ac:dyDescent="0.25">
      <c r="A5" s="9" t="s">
        <v>25</v>
      </c>
      <c r="B5" s="9">
        <v>1500</v>
      </c>
      <c r="C5" s="9">
        <v>1250</v>
      </c>
      <c r="D5" s="9">
        <v>1300</v>
      </c>
      <c r="E5" s="9">
        <v>1400</v>
      </c>
      <c r="F5" s="9">
        <v>1500</v>
      </c>
      <c r="G5" s="9">
        <v>1600</v>
      </c>
      <c r="H5" s="9">
        <v>1200</v>
      </c>
      <c r="I5" s="9">
        <v>1200</v>
      </c>
      <c r="J5" s="9">
        <v>1100</v>
      </c>
      <c r="K5" s="9">
        <v>1050</v>
      </c>
      <c r="L5" s="9">
        <v>1100</v>
      </c>
      <c r="M5" s="9">
        <v>1050</v>
      </c>
      <c r="N5" s="9">
        <f t="shared" ref="N5:N7" si="0">SUM(B5:M5)</f>
        <v>15250</v>
      </c>
    </row>
    <row r="6" spans="1:14" x14ac:dyDescent="0.25">
      <c r="A6" s="9" t="s">
        <v>26</v>
      </c>
      <c r="B6" s="9">
        <v>1200</v>
      </c>
      <c r="C6" s="9">
        <v>1300</v>
      </c>
      <c r="D6" s="9">
        <v>1400</v>
      </c>
      <c r="E6" s="9">
        <v>1500</v>
      </c>
      <c r="F6" s="9">
        <v>1600</v>
      </c>
      <c r="G6" s="9">
        <v>1700</v>
      </c>
      <c r="H6" s="9">
        <v>1600</v>
      </c>
      <c r="I6" s="9">
        <v>1400</v>
      </c>
      <c r="J6" s="9">
        <v>1400</v>
      </c>
      <c r="K6" s="9">
        <v>1300</v>
      </c>
      <c r="L6" s="9">
        <v>1200</v>
      </c>
      <c r="M6" s="9">
        <v>1100</v>
      </c>
      <c r="N6" s="9">
        <f t="shared" si="0"/>
        <v>16700</v>
      </c>
    </row>
    <row r="7" spans="1:14" x14ac:dyDescent="0.25">
      <c r="A7" s="9" t="s">
        <v>27</v>
      </c>
      <c r="B7" s="9">
        <v>200</v>
      </c>
      <c r="C7" s="9">
        <v>200</v>
      </c>
      <c r="D7" s="9">
        <v>200</v>
      </c>
      <c r="E7" s="9">
        <v>200</v>
      </c>
      <c r="F7" s="9">
        <v>300</v>
      </c>
      <c r="G7" s="9">
        <v>300</v>
      </c>
      <c r="H7" s="9">
        <v>300</v>
      </c>
      <c r="I7" s="9">
        <v>300</v>
      </c>
      <c r="J7" s="9">
        <v>400</v>
      </c>
      <c r="K7" s="9">
        <v>400</v>
      </c>
      <c r="L7" s="9">
        <v>400</v>
      </c>
      <c r="M7" s="9">
        <v>400</v>
      </c>
      <c r="N7" s="9">
        <f t="shared" si="0"/>
        <v>3600</v>
      </c>
    </row>
    <row r="8" spans="1:14" x14ac:dyDescent="0.25">
      <c r="A8" s="11" t="s">
        <v>9</v>
      </c>
      <c r="B8" s="11">
        <f t="shared" ref="B8:M8" si="1" xml:space="preserve"> SUM(B4:B7)</f>
        <v>3900</v>
      </c>
      <c r="C8" s="11">
        <f t="shared" si="1"/>
        <v>2750</v>
      </c>
      <c r="D8" s="11">
        <f t="shared" si="1"/>
        <v>4300</v>
      </c>
      <c r="E8" s="11">
        <f t="shared" si="1"/>
        <v>3100</v>
      </c>
      <c r="F8" s="11">
        <f t="shared" si="1"/>
        <v>4720</v>
      </c>
      <c r="G8" s="11">
        <f t="shared" si="1"/>
        <v>3600</v>
      </c>
      <c r="H8" s="11">
        <f t="shared" si="1"/>
        <v>3100</v>
      </c>
      <c r="I8" s="11">
        <f t="shared" si="1"/>
        <v>4400</v>
      </c>
      <c r="J8" s="11">
        <f t="shared" si="1"/>
        <v>2900</v>
      </c>
      <c r="K8" s="11">
        <f t="shared" si="1"/>
        <v>2750</v>
      </c>
      <c r="L8" s="11">
        <f t="shared" si="1"/>
        <v>3900</v>
      </c>
      <c r="M8" s="11">
        <f t="shared" si="1"/>
        <v>3600</v>
      </c>
      <c r="N8" s="11">
        <f xml:space="preserve"> SUM(N4:N7)</f>
        <v>43020</v>
      </c>
    </row>
    <row r="10" spans="1:14" x14ac:dyDescent="0.25">
      <c r="A10" s="4" t="s">
        <v>28</v>
      </c>
      <c r="B10" s="4">
        <v>1</v>
      </c>
      <c r="C10" s="4">
        <v>2</v>
      </c>
      <c r="D10" s="4">
        <v>3</v>
      </c>
      <c r="E10" s="4">
        <v>4</v>
      </c>
      <c r="F10" s="4">
        <v>5</v>
      </c>
      <c r="G10" s="4">
        <v>6</v>
      </c>
      <c r="H10" s="4">
        <v>7</v>
      </c>
      <c r="I10" s="4">
        <v>8</v>
      </c>
      <c r="J10" s="4">
        <v>9</v>
      </c>
      <c r="K10" s="4">
        <v>10</v>
      </c>
      <c r="L10" s="4">
        <v>11</v>
      </c>
      <c r="M10" s="4">
        <v>12</v>
      </c>
      <c r="N10" s="5" t="s">
        <v>2</v>
      </c>
    </row>
    <row r="11" spans="1:14" x14ac:dyDescent="0.25">
      <c r="A11" s="9" t="s">
        <v>29</v>
      </c>
      <c r="B11" s="9">
        <v>500</v>
      </c>
      <c r="C11" s="9">
        <v>600</v>
      </c>
      <c r="D11" s="9">
        <v>110</v>
      </c>
      <c r="E11" s="9">
        <v>100</v>
      </c>
      <c r="F11" s="9">
        <v>200</v>
      </c>
      <c r="G11" s="9">
        <v>100</v>
      </c>
      <c r="H11" s="9">
        <v>100</v>
      </c>
      <c r="I11" s="9">
        <v>250</v>
      </c>
      <c r="J11" s="9">
        <v>300</v>
      </c>
      <c r="K11" s="9">
        <v>250</v>
      </c>
      <c r="L11" s="9">
        <v>100</v>
      </c>
      <c r="M11" s="9">
        <v>50</v>
      </c>
      <c r="N11" s="9">
        <f>SUM(B11:M11)</f>
        <v>2660</v>
      </c>
    </row>
    <row r="12" spans="1:14" x14ac:dyDescent="0.25">
      <c r="A12" s="9" t="s">
        <v>30</v>
      </c>
      <c r="B12" s="9">
        <v>1000</v>
      </c>
      <c r="C12" s="9">
        <v>1000</v>
      </c>
      <c r="D12" s="9">
        <v>1000</v>
      </c>
      <c r="E12" s="9">
        <v>1000</v>
      </c>
      <c r="F12" s="9">
        <v>1000</v>
      </c>
      <c r="G12" s="9">
        <v>1000</v>
      </c>
      <c r="H12" s="9">
        <v>1000</v>
      </c>
      <c r="I12" s="9">
        <v>1000</v>
      </c>
      <c r="J12" s="9">
        <v>1000</v>
      </c>
      <c r="K12" s="9">
        <v>1000</v>
      </c>
      <c r="L12" s="9">
        <v>1000</v>
      </c>
      <c r="M12" s="9">
        <v>1000</v>
      </c>
      <c r="N12" s="9">
        <f t="shared" ref="N12:N14" si="2">SUM(B12:M12)</f>
        <v>12000</v>
      </c>
    </row>
    <row r="13" spans="1:14" x14ac:dyDescent="0.25">
      <c r="A13" s="9" t="s">
        <v>31</v>
      </c>
      <c r="B13" s="9">
        <v>2000</v>
      </c>
      <c r="C13" s="9">
        <v>2000</v>
      </c>
      <c r="D13" s="9">
        <v>8000</v>
      </c>
      <c r="E13" s="9">
        <v>2000</v>
      </c>
      <c r="F13" s="9">
        <v>2000</v>
      </c>
      <c r="G13" s="9">
        <v>6000</v>
      </c>
      <c r="H13" s="9">
        <v>2000</v>
      </c>
      <c r="I13" s="9">
        <v>2000</v>
      </c>
      <c r="J13" s="9">
        <v>4000</v>
      </c>
      <c r="K13" s="9">
        <v>2000</v>
      </c>
      <c r="L13" s="9">
        <v>2000</v>
      </c>
      <c r="M13" s="9">
        <v>2000</v>
      </c>
      <c r="N13" s="9">
        <f t="shared" si="2"/>
        <v>36000</v>
      </c>
    </row>
    <row r="14" spans="1:14" x14ac:dyDescent="0.25">
      <c r="A14" s="10" t="s">
        <v>8</v>
      </c>
      <c r="B14" s="10"/>
      <c r="C14" s="10"/>
      <c r="D14" s="10"/>
      <c r="E14" s="10"/>
      <c r="F14" s="10"/>
      <c r="G14" s="10">
        <v>1000</v>
      </c>
      <c r="H14" s="10"/>
      <c r="I14" s="10"/>
      <c r="J14" s="10"/>
      <c r="K14" s="10"/>
      <c r="L14" s="10"/>
      <c r="M14" s="10"/>
      <c r="N14" s="9">
        <f t="shared" si="2"/>
        <v>1000</v>
      </c>
    </row>
    <row r="15" spans="1:14" x14ac:dyDescent="0.25">
      <c r="A15" s="11" t="s">
        <v>9</v>
      </c>
      <c r="B15" s="11">
        <f>SUM(B11:B14)</f>
        <v>3500</v>
      </c>
      <c r="C15" s="11">
        <f t="shared" ref="C15:N15" si="3">SUM(C11:C14)</f>
        <v>3600</v>
      </c>
      <c r="D15" s="11">
        <f t="shared" si="3"/>
        <v>9110</v>
      </c>
      <c r="E15" s="11">
        <f t="shared" si="3"/>
        <v>3100</v>
      </c>
      <c r="F15" s="11">
        <f t="shared" si="3"/>
        <v>3200</v>
      </c>
      <c r="G15" s="11">
        <f>SUM(G11:G14)</f>
        <v>8100</v>
      </c>
      <c r="H15" s="11">
        <f t="shared" si="3"/>
        <v>3100</v>
      </c>
      <c r="I15" s="11">
        <f t="shared" si="3"/>
        <v>3250</v>
      </c>
      <c r="J15" s="11">
        <f t="shared" si="3"/>
        <v>5300</v>
      </c>
      <c r="K15" s="11">
        <f t="shared" si="3"/>
        <v>3250</v>
      </c>
      <c r="L15" s="11">
        <f t="shared" si="3"/>
        <v>3100</v>
      </c>
      <c r="M15" s="11">
        <f t="shared" si="3"/>
        <v>3050</v>
      </c>
      <c r="N15" s="11">
        <f t="shared" si="3"/>
        <v>51660</v>
      </c>
    </row>
    <row r="17" spans="1:14" x14ac:dyDescent="0.25">
      <c r="A17" s="4" t="s">
        <v>9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 x14ac:dyDescent="0.25">
      <c r="A18" s="11" t="s">
        <v>32</v>
      </c>
      <c r="B18" s="9">
        <f xml:space="preserve"> B8 - B15</f>
        <v>400</v>
      </c>
      <c r="C18" s="9">
        <f xml:space="preserve"> C8 - C15</f>
        <v>-850</v>
      </c>
      <c r="D18" s="9">
        <f xml:space="preserve"> D8 - D15</f>
        <v>-4810</v>
      </c>
      <c r="E18" s="9">
        <f xml:space="preserve"> E8 - E15</f>
        <v>0</v>
      </c>
      <c r="F18" s="9">
        <f xml:space="preserve"> F8 - F15</f>
        <v>1520</v>
      </c>
      <c r="G18" s="9">
        <f xml:space="preserve"> G8 - G15</f>
        <v>-4500</v>
      </c>
      <c r="H18" s="9">
        <f xml:space="preserve"> H8 - H15</f>
        <v>0</v>
      </c>
      <c r="I18" s="9">
        <f xml:space="preserve"> I8 - I15</f>
        <v>1150</v>
      </c>
      <c r="J18" s="9">
        <f xml:space="preserve"> J8 - J15</f>
        <v>-2400</v>
      </c>
      <c r="K18" s="9">
        <f xml:space="preserve"> K8 - K15</f>
        <v>-500</v>
      </c>
      <c r="L18" s="9">
        <f xml:space="preserve"> L8 - L15</f>
        <v>800</v>
      </c>
      <c r="M18" s="9">
        <f xml:space="preserve"> M8 - M15</f>
        <v>550</v>
      </c>
      <c r="N18" s="9">
        <f xml:space="preserve"> N8 - N15</f>
        <v>-8640</v>
      </c>
    </row>
    <row r="19" spans="1:14" x14ac:dyDescent="0.25">
      <c r="A19" s="11" t="s">
        <v>33</v>
      </c>
      <c r="B19" s="9"/>
      <c r="C19" s="9">
        <f>B18+C18</f>
        <v>-450</v>
      </c>
      <c r="D19" s="9">
        <f>C19+D18</f>
        <v>-5260</v>
      </c>
      <c r="E19" s="9">
        <f t="shared" ref="E19:N19" si="4">D19+E18</f>
        <v>-5260</v>
      </c>
      <c r="F19" s="9">
        <f t="shared" si="4"/>
        <v>-3740</v>
      </c>
      <c r="G19" s="9">
        <f t="shared" si="4"/>
        <v>-8240</v>
      </c>
      <c r="H19" s="9">
        <f t="shared" si="4"/>
        <v>-8240</v>
      </c>
      <c r="I19" s="9">
        <f t="shared" si="4"/>
        <v>-7090</v>
      </c>
      <c r="J19" s="9">
        <f t="shared" si="4"/>
        <v>-9490</v>
      </c>
      <c r="K19" s="9">
        <f t="shared" si="4"/>
        <v>-9990</v>
      </c>
      <c r="L19" s="9">
        <f t="shared" si="4"/>
        <v>-9190</v>
      </c>
      <c r="M19" s="9">
        <f t="shared" si="4"/>
        <v>-8640</v>
      </c>
      <c r="N19" s="9">
        <f t="shared" si="4"/>
        <v>-17280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5A584-B659-40FA-9F1A-135FA1E5A87A}">
  <dimension ref="A1:N17"/>
  <sheetViews>
    <sheetView zoomScale="85" zoomScaleNormal="85" workbookViewId="0">
      <selection activeCell="B19" sqref="B19"/>
    </sheetView>
  </sheetViews>
  <sheetFormatPr defaultRowHeight="15" x14ac:dyDescent="0.25"/>
  <cols>
    <col min="1" max="14" width="20.7109375" customWidth="1"/>
  </cols>
  <sheetData>
    <row r="1" spans="1:14" ht="66" x14ac:dyDescent="1">
      <c r="A1" s="1" t="s">
        <v>34</v>
      </c>
    </row>
    <row r="3" spans="1:14" x14ac:dyDescent="0.25">
      <c r="A3" s="4" t="s">
        <v>35</v>
      </c>
      <c r="B3" s="4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4">
        <v>7</v>
      </c>
      <c r="I3" s="4">
        <v>8</v>
      </c>
      <c r="J3" s="4">
        <v>9</v>
      </c>
      <c r="K3" s="4">
        <v>10</v>
      </c>
      <c r="L3" s="4">
        <v>11</v>
      </c>
      <c r="M3" s="4">
        <v>12</v>
      </c>
      <c r="N3" s="5" t="s">
        <v>2</v>
      </c>
    </row>
    <row r="4" spans="1:14" x14ac:dyDescent="0.25">
      <c r="A4" s="9" t="s">
        <v>36</v>
      </c>
      <c r="B4" s="13">
        <v>9000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13">
        <f>SUM(B4:M4)</f>
        <v>9000</v>
      </c>
    </row>
    <row r="5" spans="1:14" x14ac:dyDescent="0.25">
      <c r="A5" s="9" t="s">
        <v>20</v>
      </c>
      <c r="B5" s="9">
        <v>200</v>
      </c>
      <c r="C5" s="9">
        <v>200</v>
      </c>
      <c r="D5" s="9">
        <v>200</v>
      </c>
      <c r="E5" s="9">
        <v>200</v>
      </c>
      <c r="F5" s="9">
        <v>200</v>
      </c>
      <c r="G5" s="9">
        <v>200</v>
      </c>
      <c r="H5" s="9">
        <v>200</v>
      </c>
      <c r="I5" s="9">
        <v>200</v>
      </c>
      <c r="J5" s="9">
        <v>200</v>
      </c>
      <c r="K5" s="9">
        <v>200</v>
      </c>
      <c r="L5" s="9">
        <v>200</v>
      </c>
      <c r="M5" s="9">
        <v>200</v>
      </c>
      <c r="N5" s="13">
        <f t="shared" ref="N5:N7" si="0">SUM(B5:M5)</f>
        <v>2400</v>
      </c>
    </row>
    <row r="6" spans="1:14" x14ac:dyDescent="0.25">
      <c r="A6" s="9" t="s">
        <v>37</v>
      </c>
      <c r="B6" s="9">
        <v>1000</v>
      </c>
      <c r="C6" s="9">
        <v>1000</v>
      </c>
      <c r="D6" s="9">
        <v>1000</v>
      </c>
      <c r="E6" s="9">
        <v>1000</v>
      </c>
      <c r="F6" s="9">
        <v>1000</v>
      </c>
      <c r="G6" s="9">
        <v>5000</v>
      </c>
      <c r="H6" s="9">
        <v>5000</v>
      </c>
      <c r="I6" s="9">
        <v>5000</v>
      </c>
      <c r="J6" s="9">
        <v>5000</v>
      </c>
      <c r="K6" s="9">
        <v>1000</v>
      </c>
      <c r="L6" s="9">
        <v>1000</v>
      </c>
      <c r="M6" s="9">
        <v>1000</v>
      </c>
      <c r="N6" s="13">
        <f t="shared" si="0"/>
        <v>28000</v>
      </c>
    </row>
    <row r="7" spans="1:14" x14ac:dyDescent="0.25">
      <c r="A7" s="11" t="s">
        <v>9</v>
      </c>
      <c r="B7" s="14">
        <f>SUM(B4:B6)</f>
        <v>10200</v>
      </c>
      <c r="C7" s="14">
        <f t="shared" ref="C7:N7" si="1">SUM(C4:C6)</f>
        <v>1200</v>
      </c>
      <c r="D7" s="14">
        <f t="shared" si="1"/>
        <v>1200</v>
      </c>
      <c r="E7" s="14">
        <f t="shared" si="1"/>
        <v>1200</v>
      </c>
      <c r="F7" s="14">
        <f t="shared" si="1"/>
        <v>1200</v>
      </c>
      <c r="G7" s="14">
        <f t="shared" si="1"/>
        <v>5200</v>
      </c>
      <c r="H7" s="14">
        <f t="shared" si="1"/>
        <v>5200</v>
      </c>
      <c r="I7" s="14">
        <f t="shared" si="1"/>
        <v>5200</v>
      </c>
      <c r="J7" s="14">
        <f t="shared" si="1"/>
        <v>5200</v>
      </c>
      <c r="K7" s="14">
        <f t="shared" si="1"/>
        <v>1200</v>
      </c>
      <c r="L7" s="14">
        <f t="shared" si="1"/>
        <v>1200</v>
      </c>
      <c r="M7" s="14">
        <f t="shared" si="1"/>
        <v>1200</v>
      </c>
      <c r="N7" s="14">
        <f t="shared" si="1"/>
        <v>39400</v>
      </c>
    </row>
    <row r="9" spans="1:14" x14ac:dyDescent="0.25">
      <c r="A9" s="15" t="s">
        <v>38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5" t="s">
        <v>2</v>
      </c>
    </row>
    <row r="10" spans="1:14" x14ac:dyDescent="0.25">
      <c r="A10" s="2" t="s">
        <v>1</v>
      </c>
      <c r="B10" s="2">
        <v>9000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>
        <f>SUM(B10:M10)</f>
        <v>9000</v>
      </c>
    </row>
    <row r="11" spans="1:14" x14ac:dyDescent="0.25">
      <c r="A11" s="2" t="s">
        <v>28</v>
      </c>
      <c r="B11" s="2">
        <f>Exploitatiebegroting!B15</f>
        <v>3500</v>
      </c>
      <c r="C11" s="2">
        <f>Exploitatiebegroting!C15</f>
        <v>3600</v>
      </c>
      <c r="D11" s="2">
        <f>Exploitatiebegroting!D15</f>
        <v>9110</v>
      </c>
      <c r="E11" s="2">
        <f>Exploitatiebegroting!E15</f>
        <v>3100</v>
      </c>
      <c r="F11" s="2">
        <f>Exploitatiebegroting!F15</f>
        <v>3200</v>
      </c>
      <c r="G11" s="2">
        <f>Exploitatiebegroting!G15</f>
        <v>8100</v>
      </c>
      <c r="H11" s="2">
        <f>Exploitatiebegroting!H15</f>
        <v>3100</v>
      </c>
      <c r="I11" s="2">
        <f>Exploitatiebegroting!I15</f>
        <v>3250</v>
      </c>
      <c r="J11" s="2">
        <f>Exploitatiebegroting!J15</f>
        <v>5300</v>
      </c>
      <c r="K11" s="2">
        <f>Exploitatiebegroting!K15</f>
        <v>3250</v>
      </c>
      <c r="L11" s="2">
        <f>Exploitatiebegroting!L15</f>
        <v>3100</v>
      </c>
      <c r="M11" s="2">
        <f>Exploitatiebegroting!M15</f>
        <v>3050</v>
      </c>
      <c r="N11" s="2">
        <f t="shared" ref="N11:N13" si="2">SUM(B11:M11)</f>
        <v>51660</v>
      </c>
    </row>
    <row r="12" spans="1:14" x14ac:dyDescent="0.25">
      <c r="A12" s="2" t="s">
        <v>39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>
        <f t="shared" si="2"/>
        <v>0</v>
      </c>
    </row>
    <row r="13" spans="1:14" x14ac:dyDescent="0.25">
      <c r="A13" s="3" t="s">
        <v>9</v>
      </c>
      <c r="B13" s="3">
        <f>SUM(B10:B12)</f>
        <v>12500</v>
      </c>
      <c r="C13" s="3">
        <f t="shared" ref="C13:N13" si="3">SUM(C10:C12)</f>
        <v>3600</v>
      </c>
      <c r="D13" s="3">
        <f t="shared" si="3"/>
        <v>9110</v>
      </c>
      <c r="E13" s="3">
        <f t="shared" si="3"/>
        <v>3100</v>
      </c>
      <c r="F13" s="3">
        <f t="shared" si="3"/>
        <v>3200</v>
      </c>
      <c r="G13" s="3">
        <f t="shared" si="3"/>
        <v>8100</v>
      </c>
      <c r="H13" s="3">
        <f t="shared" si="3"/>
        <v>3100</v>
      </c>
      <c r="I13" s="3">
        <f t="shared" si="3"/>
        <v>3250</v>
      </c>
      <c r="J13" s="3">
        <f t="shared" si="3"/>
        <v>5300</v>
      </c>
      <c r="K13" s="3">
        <f t="shared" si="3"/>
        <v>3250</v>
      </c>
      <c r="L13" s="3">
        <f t="shared" si="3"/>
        <v>3100</v>
      </c>
      <c r="M13" s="3">
        <f t="shared" si="3"/>
        <v>3050</v>
      </c>
      <c r="N13" s="3">
        <f t="shared" si="3"/>
        <v>60660</v>
      </c>
    </row>
    <row r="15" spans="1:14" x14ac:dyDescent="0.25">
      <c r="A15" s="4" t="s">
        <v>40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 x14ac:dyDescent="0.25">
      <c r="A16" s="2"/>
      <c r="B16" s="12">
        <f>B7-B13</f>
        <v>-2300</v>
      </c>
      <c r="C16" s="12">
        <f t="shared" ref="C16:N16" si="4">C7-C13</f>
        <v>-2400</v>
      </c>
      <c r="D16" s="12">
        <f t="shared" si="4"/>
        <v>-7910</v>
      </c>
      <c r="E16" s="12">
        <f t="shared" si="4"/>
        <v>-1900</v>
      </c>
      <c r="F16" s="12">
        <f t="shared" si="4"/>
        <v>-2000</v>
      </c>
      <c r="G16" s="12">
        <f t="shared" si="4"/>
        <v>-2900</v>
      </c>
      <c r="H16" s="12">
        <f t="shared" si="4"/>
        <v>2100</v>
      </c>
      <c r="I16" s="12">
        <f t="shared" si="4"/>
        <v>1950</v>
      </c>
      <c r="J16" s="12">
        <f t="shared" si="4"/>
        <v>-100</v>
      </c>
      <c r="K16" s="12">
        <f t="shared" si="4"/>
        <v>-2050</v>
      </c>
      <c r="L16" s="12">
        <f t="shared" si="4"/>
        <v>-1900</v>
      </c>
      <c r="M16" s="12">
        <f t="shared" si="4"/>
        <v>-1850</v>
      </c>
      <c r="N16" s="12">
        <f t="shared" si="4"/>
        <v>-21260</v>
      </c>
    </row>
    <row r="17" spans="1:14" x14ac:dyDescent="0.2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Investeringsbegroting</vt:lpstr>
      <vt:lpstr>Financieringsplan</vt:lpstr>
      <vt:lpstr>Exploitatiebegroting</vt:lpstr>
      <vt:lpstr>Liquiditeitsbegroting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Seth Van den Bossche</dc:creator>
  <cp:lastModifiedBy>Seth Van den Bossche</cp:lastModifiedBy>
  <dcterms:created xsi:type="dcterms:W3CDTF">2026-01-13T17:53:16Z</dcterms:created>
  <dcterms:modified xsi:type="dcterms:W3CDTF">2026-01-13T20:02:11Z</dcterms:modified>
</cp:coreProperties>
</file>