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UCA-3\Vakken\Creatief en ondernemend\"/>
    </mc:Choice>
  </mc:AlternateContent>
  <xr:revisionPtr revIDLastSave="0" documentId="13_ncr:1_{19944B4C-2BA4-4994-9AE6-B398F5B06153}" xr6:coauthVersionLast="47" xr6:coauthVersionMax="47" xr10:uidLastSave="{00000000-0000-0000-0000-000000000000}"/>
  <bookViews>
    <workbookView xWindow="-105" yWindow="0" windowWidth="15330" windowHeight="15585" xr2:uid="{E504297A-C83C-4E0C-B967-660A16719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3" i="1"/>
  <c r="F52" i="1"/>
  <c r="C54" i="1"/>
  <c r="C52" i="1"/>
  <c r="C49" i="1"/>
  <c r="C48" i="1"/>
  <c r="C47" i="1"/>
  <c r="C46" i="1"/>
  <c r="E27" i="1"/>
  <c r="E26" i="1"/>
  <c r="D28" i="1"/>
  <c r="C28" i="1"/>
  <c r="D19" i="1"/>
  <c r="D20" i="1"/>
  <c r="D21" i="1"/>
  <c r="D16" i="1"/>
  <c r="C10" i="1"/>
  <c r="C11" i="1" s="1"/>
  <c r="C5" i="1"/>
  <c r="E28" i="1" l="1"/>
  <c r="D22" i="1" s="1"/>
  <c r="C13" i="1"/>
  <c r="D23" i="1"/>
  <c r="C32" i="1" l="1"/>
  <c r="D32" i="1" s="1"/>
  <c r="C37" i="1"/>
  <c r="D37" i="1" s="1"/>
  <c r="C42" i="1"/>
  <c r="D42" i="1" s="1"/>
  <c r="B42" i="1"/>
  <c r="B37" i="1"/>
  <c r="B32" i="1"/>
</calcChain>
</file>

<file path=xl/sharedStrings.xml><?xml version="1.0" encoding="utf-8"?>
<sst xmlns="http://schemas.openxmlformats.org/spreadsheetml/2006/main" count="55" uniqueCount="40">
  <si>
    <t>Directe kosten</t>
  </si>
  <si>
    <t>Fotograaf (webshop product foto's)</t>
  </si>
  <si>
    <t>Vervoerskosten (treinticketten)</t>
  </si>
  <si>
    <t>Uurloon</t>
  </si>
  <si>
    <t>Totaal</t>
  </si>
  <si>
    <t>Website ontwerp uren</t>
  </si>
  <si>
    <t>Website uitwerking uren</t>
  </si>
  <si>
    <t>Totaal uren</t>
  </si>
  <si>
    <t>Totaal loon kosten</t>
  </si>
  <si>
    <t>Totaal directe kosten</t>
  </si>
  <si>
    <t>Indirecte kosten</t>
  </si>
  <si>
    <t>Computer</t>
  </si>
  <si>
    <t>Adobe Suite</t>
  </si>
  <si>
    <t>Boekhouder</t>
  </si>
  <si>
    <t>Internet abonnement</t>
  </si>
  <si>
    <t>Verzekeringen</t>
  </si>
  <si>
    <t>Marketing</t>
  </si>
  <si>
    <t>Afschrijvingen</t>
  </si>
  <si>
    <t>Maandelijks</t>
  </si>
  <si>
    <t>Jaarlijks</t>
  </si>
  <si>
    <t>Computerbenodigheden</t>
  </si>
  <si>
    <t>Aankoopprijs</t>
  </si>
  <si>
    <t>Afschrijvingstermijn</t>
  </si>
  <si>
    <t>Jaarlijkse afschrijving</t>
  </si>
  <si>
    <t>Resultaat</t>
  </si>
  <si>
    <t>Verdeelsleutel: Op basis van geschat aantal factureerbare uren per jaar</t>
  </si>
  <si>
    <t>Factureerbaare uren per jaar</t>
  </si>
  <si>
    <t>Verdeelsleutel: Op basis van geschat aantal projecten per jaar</t>
  </si>
  <si>
    <t>Aantal projecten per jaar</t>
  </si>
  <si>
    <t>Verdeelsleutel: Op basis van verhouding indirecte/directe kosten</t>
  </si>
  <si>
    <t>Totale kostprijs</t>
  </si>
  <si>
    <t>Op basis van factureerbare uren</t>
  </si>
  <si>
    <t>Bepalen van verkoopprijs</t>
  </si>
  <si>
    <t>Minimumprijs</t>
  </si>
  <si>
    <t>Winstmarge</t>
  </si>
  <si>
    <t>Minimumprijs met winmarge</t>
  </si>
  <si>
    <t>Veronderstellingen</t>
  </si>
  <si>
    <t>Aantal werkuren</t>
  </si>
  <si>
    <t>Jaarlijkse afschrijvingskosten</t>
  </si>
  <si>
    <t>Aantal factureerbare 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</si>
</sst>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0" borderId="0" xfId="0" applyFill="1"/>
    <xf numFmtId="0" fontId="0" fillId="2" borderId="0" xfId="0" applyFont="1" applyFill="1"/>
    <xf numFmtId="0" fontId="1" fillId="0" borderId="0" xfId="0" applyFont="1" applyFill="1"/>
    <xf numFmtId="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63C1-60A6-4510-B35F-89C8F70A0032}">
  <dimension ref="B2:F54"/>
  <sheetViews>
    <sheetView tabSelected="1" topLeftCell="A10" zoomScale="85" zoomScaleNormal="85" workbookViewId="0">
      <selection activeCell="E35" sqref="E35"/>
    </sheetView>
  </sheetViews>
  <sheetFormatPr defaultRowHeight="15" x14ac:dyDescent="0.25"/>
  <cols>
    <col min="2" max="2" width="38.5703125" customWidth="1"/>
    <col min="3" max="6" width="20.7109375" customWidth="1"/>
  </cols>
  <sheetData>
    <row r="2" spans="2:4" x14ac:dyDescent="0.25">
      <c r="B2" s="1" t="s">
        <v>0</v>
      </c>
      <c r="C2" s="1"/>
    </row>
    <row r="3" spans="2:4" x14ac:dyDescent="0.25">
      <c r="B3" s="2" t="s">
        <v>1</v>
      </c>
      <c r="C3" s="2">
        <v>500</v>
      </c>
    </row>
    <row r="4" spans="2:4" x14ac:dyDescent="0.25">
      <c r="B4" s="2" t="s">
        <v>2</v>
      </c>
      <c r="C4" s="2">
        <v>60</v>
      </c>
    </row>
    <row r="5" spans="2:4" x14ac:dyDescent="0.25">
      <c r="B5" s="3" t="s">
        <v>4</v>
      </c>
      <c r="C5" s="3">
        <f>SUM(C3:C4)</f>
        <v>560</v>
      </c>
    </row>
    <row r="6" spans="2:4" x14ac:dyDescent="0.25">
      <c r="B6" s="2"/>
      <c r="C6" s="2"/>
    </row>
    <row r="7" spans="2:4" x14ac:dyDescent="0.25">
      <c r="B7" s="3" t="s">
        <v>3</v>
      </c>
      <c r="C7" s="2">
        <v>25</v>
      </c>
    </row>
    <row r="8" spans="2:4" x14ac:dyDescent="0.25">
      <c r="B8" s="2" t="s">
        <v>5</v>
      </c>
      <c r="C8" s="2">
        <v>24</v>
      </c>
    </row>
    <row r="9" spans="2:4" x14ac:dyDescent="0.25">
      <c r="B9" s="2" t="s">
        <v>6</v>
      </c>
      <c r="C9" s="2">
        <v>60</v>
      </c>
    </row>
    <row r="10" spans="2:4" x14ac:dyDescent="0.25">
      <c r="B10" s="3" t="s">
        <v>7</v>
      </c>
      <c r="C10" s="3">
        <f>SUM(C8:C9)</f>
        <v>84</v>
      </c>
    </row>
    <row r="11" spans="2:4" x14ac:dyDescent="0.25">
      <c r="B11" s="3" t="s">
        <v>8</v>
      </c>
      <c r="C11" s="3">
        <f>C7*C10</f>
        <v>2100</v>
      </c>
    </row>
    <row r="12" spans="2:4" x14ac:dyDescent="0.25">
      <c r="B12" s="2"/>
      <c r="C12" s="2"/>
    </row>
    <row r="13" spans="2:4" x14ac:dyDescent="0.25">
      <c r="B13" s="3" t="s">
        <v>9</v>
      </c>
      <c r="C13" s="3">
        <f>C5+C11</f>
        <v>2660</v>
      </c>
    </row>
    <row r="15" spans="2:4" x14ac:dyDescent="0.25">
      <c r="B15" s="4" t="s">
        <v>10</v>
      </c>
      <c r="C15" s="5" t="s">
        <v>18</v>
      </c>
      <c r="D15" s="5" t="s">
        <v>19</v>
      </c>
    </row>
    <row r="16" spans="2:4" x14ac:dyDescent="0.25">
      <c r="B16" s="2" t="s">
        <v>11</v>
      </c>
      <c r="C16" s="2">
        <v>100</v>
      </c>
      <c r="D16" s="2">
        <f>C16*12</f>
        <v>1200</v>
      </c>
    </row>
    <row r="17" spans="2:5" x14ac:dyDescent="0.25">
      <c r="B17" s="2" t="s">
        <v>12</v>
      </c>
      <c r="C17" s="2"/>
      <c r="D17" s="2">
        <v>660</v>
      </c>
    </row>
    <row r="18" spans="2:5" x14ac:dyDescent="0.25">
      <c r="B18" s="2" t="s">
        <v>13</v>
      </c>
      <c r="C18" s="2"/>
      <c r="D18" s="2">
        <v>400</v>
      </c>
    </row>
    <row r="19" spans="2:5" x14ac:dyDescent="0.25">
      <c r="B19" s="2" t="s">
        <v>14</v>
      </c>
      <c r="C19" s="2">
        <v>100</v>
      </c>
      <c r="D19" s="2">
        <f t="shared" ref="D19:D21" si="0">C19*12</f>
        <v>1200</v>
      </c>
    </row>
    <row r="20" spans="2:5" x14ac:dyDescent="0.25">
      <c r="B20" s="2" t="s">
        <v>15</v>
      </c>
      <c r="C20" s="2">
        <v>100</v>
      </c>
      <c r="D20" s="2">
        <f t="shared" si="0"/>
        <v>1200</v>
      </c>
    </row>
    <row r="21" spans="2:5" x14ac:dyDescent="0.25">
      <c r="B21" s="2" t="s">
        <v>16</v>
      </c>
      <c r="C21" s="2">
        <v>200</v>
      </c>
      <c r="D21" s="2">
        <f t="shared" si="0"/>
        <v>2400</v>
      </c>
    </row>
    <row r="22" spans="2:5" x14ac:dyDescent="0.25">
      <c r="B22" s="2" t="s">
        <v>17</v>
      </c>
      <c r="C22" s="2"/>
      <c r="D22" s="2">
        <f>E28</f>
        <v>750</v>
      </c>
    </row>
    <row r="23" spans="2:5" x14ac:dyDescent="0.25">
      <c r="B23" s="3" t="s">
        <v>4</v>
      </c>
      <c r="C23" s="3"/>
      <c r="D23" s="3">
        <f>SUM(D16:D22)</f>
        <v>7810</v>
      </c>
    </row>
    <row r="25" spans="2:5" x14ac:dyDescent="0.25">
      <c r="B25" s="5" t="s">
        <v>17</v>
      </c>
      <c r="C25" s="5" t="s">
        <v>21</v>
      </c>
      <c r="D25" s="5" t="s">
        <v>22</v>
      </c>
      <c r="E25" s="5" t="s">
        <v>23</v>
      </c>
    </row>
    <row r="26" spans="2:5" x14ac:dyDescent="0.25">
      <c r="B26" s="6" t="s">
        <v>11</v>
      </c>
      <c r="C26" s="2">
        <v>2500</v>
      </c>
      <c r="D26" s="2">
        <v>5</v>
      </c>
      <c r="E26" s="2">
        <f>C26/D26</f>
        <v>500</v>
      </c>
    </row>
    <row r="27" spans="2:5" x14ac:dyDescent="0.25">
      <c r="B27" s="6" t="s">
        <v>20</v>
      </c>
      <c r="C27" s="2">
        <v>500</v>
      </c>
      <c r="D27" s="2">
        <v>2</v>
      </c>
      <c r="E27" s="2">
        <f>C27/D27</f>
        <v>250</v>
      </c>
    </row>
    <row r="28" spans="2:5" x14ac:dyDescent="0.25">
      <c r="B28" s="6" t="s">
        <v>4</v>
      </c>
      <c r="C28" s="2">
        <f>SUM(C26:C27)</f>
        <v>3000</v>
      </c>
      <c r="D28" s="2">
        <f>SUM(D26:D27)</f>
        <v>7</v>
      </c>
      <c r="E28" s="2">
        <f>SUM(E26:E27)</f>
        <v>750</v>
      </c>
    </row>
    <row r="30" spans="2:5" x14ac:dyDescent="0.25">
      <c r="B30" s="4" t="s">
        <v>25</v>
      </c>
      <c r="C30" s="4"/>
      <c r="D30" s="5"/>
      <c r="E30" s="7"/>
    </row>
    <row r="31" spans="2:5" x14ac:dyDescent="0.25">
      <c r="B31" s="3" t="s">
        <v>0</v>
      </c>
      <c r="C31" s="3" t="s">
        <v>10</v>
      </c>
      <c r="D31" s="3" t="s">
        <v>24</v>
      </c>
      <c r="E31" s="7"/>
    </row>
    <row r="32" spans="2:5" x14ac:dyDescent="0.25">
      <c r="B32" s="2">
        <f>C$13</f>
        <v>2660</v>
      </c>
      <c r="C32" s="2">
        <f>D$23</f>
        <v>7810</v>
      </c>
      <c r="D32" s="2">
        <f>C32/C33</f>
        <v>31.24</v>
      </c>
      <c r="E32" s="7"/>
    </row>
    <row r="33" spans="2:5" x14ac:dyDescent="0.25">
      <c r="B33" s="3" t="s">
        <v>26</v>
      </c>
      <c r="C33" s="2">
        <v>250</v>
      </c>
      <c r="D33" s="2"/>
      <c r="E33" s="7"/>
    </row>
    <row r="34" spans="2:5" x14ac:dyDescent="0.25">
      <c r="D34" s="7"/>
      <c r="E34" s="7"/>
    </row>
    <row r="35" spans="2:5" x14ac:dyDescent="0.25">
      <c r="B35" s="4" t="s">
        <v>27</v>
      </c>
      <c r="C35" s="4"/>
      <c r="D35" s="5"/>
      <c r="E35" s="7"/>
    </row>
    <row r="36" spans="2:5" x14ac:dyDescent="0.25">
      <c r="B36" s="3" t="s">
        <v>0</v>
      </c>
      <c r="C36" s="3" t="s">
        <v>10</v>
      </c>
      <c r="D36" s="3" t="s">
        <v>24</v>
      </c>
      <c r="E36" s="7"/>
    </row>
    <row r="37" spans="2:5" x14ac:dyDescent="0.25">
      <c r="B37" s="2">
        <f>C$13</f>
        <v>2660</v>
      </c>
      <c r="C37" s="2">
        <f>D$23</f>
        <v>7810</v>
      </c>
      <c r="D37" s="2">
        <f>C37/C38</f>
        <v>195.25</v>
      </c>
      <c r="E37" s="7"/>
    </row>
    <row r="38" spans="2:5" x14ac:dyDescent="0.25">
      <c r="B38" s="3" t="s">
        <v>28</v>
      </c>
      <c r="C38" s="2">
        <v>40</v>
      </c>
      <c r="D38" s="2"/>
    </row>
    <row r="40" spans="2:5" x14ac:dyDescent="0.25">
      <c r="B40" s="4" t="s">
        <v>29</v>
      </c>
      <c r="C40" s="4"/>
      <c r="D40" s="5"/>
    </row>
    <row r="41" spans="2:5" x14ac:dyDescent="0.25">
      <c r="B41" s="3" t="s">
        <v>0</v>
      </c>
      <c r="C41" s="3" t="s">
        <v>10</v>
      </c>
      <c r="D41" s="3" t="s">
        <v>24</v>
      </c>
    </row>
    <row r="42" spans="2:5" x14ac:dyDescent="0.25">
      <c r="B42" s="2">
        <f>C$13</f>
        <v>2660</v>
      </c>
      <c r="C42" s="2">
        <f>D$23</f>
        <v>7810</v>
      </c>
      <c r="D42" s="2">
        <f>((C42/B42)+1) * B42</f>
        <v>10470</v>
      </c>
    </row>
    <row r="43" spans="2:5" x14ac:dyDescent="0.25">
      <c r="B43" s="3"/>
      <c r="C43" s="2"/>
      <c r="D43" s="2"/>
    </row>
    <row r="45" spans="2:5" x14ac:dyDescent="0.25">
      <c r="B45" s="4" t="s">
        <v>30</v>
      </c>
      <c r="C45" s="4"/>
      <c r="D45" s="9"/>
    </row>
    <row r="46" spans="2:5" x14ac:dyDescent="0.25">
      <c r="B46" s="2" t="s">
        <v>0</v>
      </c>
      <c r="C46" s="2">
        <f>C13</f>
        <v>2660</v>
      </c>
    </row>
    <row r="47" spans="2:5" x14ac:dyDescent="0.25">
      <c r="B47" s="2" t="s">
        <v>10</v>
      </c>
      <c r="C47" s="2">
        <f>D23</f>
        <v>7810</v>
      </c>
    </row>
    <row r="48" spans="2:5" x14ac:dyDescent="0.25">
      <c r="B48" s="2" t="s">
        <v>31</v>
      </c>
      <c r="C48" s="2">
        <f>C10 * D32</f>
        <v>2624.16</v>
      </c>
    </row>
    <row r="49" spans="2:6" x14ac:dyDescent="0.25">
      <c r="B49" s="2" t="s">
        <v>4</v>
      </c>
      <c r="C49" s="2">
        <f>C46+C48</f>
        <v>5284.16</v>
      </c>
    </row>
    <row r="51" spans="2:6" x14ac:dyDescent="0.25">
      <c r="B51" s="8" t="s">
        <v>32</v>
      </c>
      <c r="C51" s="5"/>
      <c r="E51" s="5" t="s">
        <v>36</v>
      </c>
      <c r="F51" s="5"/>
    </row>
    <row r="52" spans="2:6" x14ac:dyDescent="0.25">
      <c r="B52" s="2" t="s">
        <v>33</v>
      </c>
      <c r="C52" s="2">
        <f>C49</f>
        <v>5284.16</v>
      </c>
      <c r="E52" s="2" t="s">
        <v>37</v>
      </c>
      <c r="F52" s="2">
        <f>C10</f>
        <v>84</v>
      </c>
    </row>
    <row r="53" spans="2:6" x14ac:dyDescent="0.25">
      <c r="B53" s="2" t="s">
        <v>34</v>
      </c>
      <c r="C53" s="10">
        <v>0.25</v>
      </c>
      <c r="E53" s="2" t="s">
        <v>38</v>
      </c>
      <c r="F53" s="2">
        <f>D23</f>
        <v>7810</v>
      </c>
    </row>
    <row r="54" spans="2:6" x14ac:dyDescent="0.25">
      <c r="B54" s="2" t="s">
        <v>35</v>
      </c>
      <c r="C54" s="2">
        <f>C52*(100%+C53)</f>
        <v>6605.2</v>
      </c>
      <c r="E54" s="2" t="s">
        <v>39</v>
      </c>
      <c r="F54" s="2">
        <f>C33</f>
        <v>250</v>
      </c>
    </row>
  </sheetData>
  <pageMargins left="0.7" right="0.7" top="0.75" bottom="0.75" header="0.3" footer="0.3"/>
  <pageSetup orientation="portrait" horizontalDpi="300" verticalDpi="300" r:id="rId1"/>
  <ignoredErrors>
    <ignoredError sqref="C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Van den Bossche</dc:creator>
  <cp:lastModifiedBy>Seth Van den Bossche</cp:lastModifiedBy>
  <dcterms:created xsi:type="dcterms:W3CDTF">2026-01-13T20:26:20Z</dcterms:created>
  <dcterms:modified xsi:type="dcterms:W3CDTF">2026-01-13T20:47:24Z</dcterms:modified>
</cp:coreProperties>
</file>