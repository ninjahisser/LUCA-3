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LUCA-3\"/>
    </mc:Choice>
  </mc:AlternateContent>
  <xr:revisionPtr revIDLastSave="0" documentId="13_ncr:1_{030A9BDD-B916-4C6B-8F9E-03CECCD191B7}" xr6:coauthVersionLast="47" xr6:coauthVersionMax="47" xr10:uidLastSave="{00000000-0000-0000-0000-000000000000}"/>
  <bookViews>
    <workbookView xWindow="-120" yWindow="-120" windowWidth="29040" windowHeight="15720" firstSheet="29" activeTab="36" xr2:uid="{28AF1FA9-2C6A-4F87-8A25-50C42A1BDAE6}"/>
  </bookViews>
  <sheets>
    <sheet name="Index" sheetId="1" r:id="rId1"/>
    <sheet name="Week 1" sheetId="2" r:id="rId2"/>
    <sheet name="Week 2" sheetId="7" r:id="rId3"/>
    <sheet name="Week 3" sheetId="8" r:id="rId4"/>
    <sheet name="Week 4" sheetId="9" r:id="rId5"/>
    <sheet name="Week 5" sheetId="10" r:id="rId6"/>
    <sheet name="Week 6" sheetId="11" r:id="rId7"/>
    <sheet name="Week 7" sheetId="12" r:id="rId8"/>
    <sheet name="Week 8" sheetId="13" r:id="rId9"/>
    <sheet name="Week 9" sheetId="14" r:id="rId10"/>
    <sheet name="Week 10" sheetId="15" r:id="rId11"/>
    <sheet name="Week 11" sheetId="16" r:id="rId12"/>
    <sheet name="Week 12" sheetId="17" r:id="rId13"/>
    <sheet name="Week 13" sheetId="18" r:id="rId14"/>
    <sheet name="Week 14" sheetId="19" r:id="rId15"/>
    <sheet name="Week 15" sheetId="20" r:id="rId16"/>
    <sheet name="Week 16" sheetId="21" r:id="rId17"/>
    <sheet name="Week 17" sheetId="22" r:id="rId18"/>
    <sheet name="Week 18" sheetId="23" r:id="rId19"/>
    <sheet name="Week 19" sheetId="24" r:id="rId20"/>
    <sheet name="Week 20" sheetId="25" r:id="rId21"/>
    <sheet name="Week 21" sheetId="26" r:id="rId22"/>
    <sheet name="Week 22" sheetId="27" r:id="rId23"/>
    <sheet name="Week 23" sheetId="28" r:id="rId24"/>
    <sheet name="Week 24" sheetId="29" r:id="rId25"/>
    <sheet name="Week 25" sheetId="30" r:id="rId26"/>
    <sheet name="Week 26" sheetId="31" r:id="rId27"/>
    <sheet name="Week 27" sheetId="32" r:id="rId28"/>
    <sheet name="Week 28" sheetId="33" r:id="rId29"/>
    <sheet name="Week 29" sheetId="34" r:id="rId30"/>
    <sheet name="Week 30" sheetId="35" r:id="rId31"/>
    <sheet name="Week 31" sheetId="36" r:id="rId32"/>
    <sheet name="Week 32" sheetId="37" r:id="rId33"/>
    <sheet name="Week 33" sheetId="38" r:id="rId34"/>
    <sheet name="Week 34" sheetId="39" r:id="rId35"/>
    <sheet name="Week 35" sheetId="40" r:id="rId36"/>
    <sheet name="Week 36" sheetId="41" r:id="rId37"/>
    <sheet name="Week 37" sheetId="42" r:id="rId38"/>
    <sheet name="Week 38" sheetId="43" r:id="rId39"/>
    <sheet name="Week 39" sheetId="44" r:id="rId40"/>
    <sheet name="Week 40" sheetId="45" r:id="rId4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14" l="1"/>
  <c r="C5" i="45"/>
  <c r="C29" i="45" s="1"/>
  <c r="D3" i="45"/>
  <c r="C5" i="44"/>
  <c r="D5" i="44" s="1"/>
  <c r="D3" i="44"/>
  <c r="C5" i="43"/>
  <c r="C29" i="43" s="1"/>
  <c r="D3" i="43"/>
  <c r="C5" i="42"/>
  <c r="D5" i="42" s="1"/>
  <c r="D3" i="42"/>
  <c r="C5" i="41"/>
  <c r="D5" i="41" s="1"/>
  <c r="D3" i="41"/>
  <c r="C5" i="40"/>
  <c r="D5" i="40" s="1"/>
  <c r="D3" i="40"/>
  <c r="C5" i="39"/>
  <c r="D5" i="39" s="1"/>
  <c r="D3" i="39"/>
  <c r="C5" i="38"/>
  <c r="D5" i="38" s="1"/>
  <c r="D3" i="38"/>
  <c r="C5" i="37"/>
  <c r="D5" i="37" s="1"/>
  <c r="D3" i="37"/>
  <c r="C5" i="36"/>
  <c r="D5" i="36" s="1"/>
  <c r="D3" i="36"/>
  <c r="C5" i="35"/>
  <c r="D5" i="35" s="1"/>
  <c r="D3" i="35"/>
  <c r="C5" i="34"/>
  <c r="C29" i="34" s="1"/>
  <c r="D3" i="34"/>
  <c r="C5" i="33"/>
  <c r="C29" i="33" s="1"/>
  <c r="D3" i="33"/>
  <c r="C5" i="32"/>
  <c r="C29" i="32" s="1"/>
  <c r="D3" i="32"/>
  <c r="C5" i="31"/>
  <c r="D5" i="31" s="1"/>
  <c r="E5" i="31" s="1"/>
  <c r="D3" i="31"/>
  <c r="C5" i="30"/>
  <c r="D5" i="30" s="1"/>
  <c r="D3" i="30"/>
  <c r="C5" i="29"/>
  <c r="D5" i="29" s="1"/>
  <c r="D3" i="29"/>
  <c r="C5" i="28"/>
  <c r="D5" i="28" s="1"/>
  <c r="D3" i="28"/>
  <c r="C5" i="27"/>
  <c r="D5" i="27" s="1"/>
  <c r="D3" i="27"/>
  <c r="C5" i="26"/>
  <c r="D5" i="26" s="1"/>
  <c r="D3" i="26"/>
  <c r="C5" i="25"/>
  <c r="D5" i="25" s="1"/>
  <c r="D3" i="25"/>
  <c r="C5" i="24"/>
  <c r="D5" i="24" s="1"/>
  <c r="D3" i="24"/>
  <c r="C5" i="23"/>
  <c r="D5" i="23" s="1"/>
  <c r="D3" i="23"/>
  <c r="C5" i="22"/>
  <c r="D5" i="22" s="1"/>
  <c r="D3" i="22"/>
  <c r="C5" i="21"/>
  <c r="D5" i="21" s="1"/>
  <c r="D3" i="21"/>
  <c r="C5" i="20"/>
  <c r="D5" i="20" s="1"/>
  <c r="D3" i="20"/>
  <c r="C5" i="19"/>
  <c r="C29" i="19" s="1"/>
  <c r="D3" i="19"/>
  <c r="C5" i="18"/>
  <c r="D5" i="18" s="1"/>
  <c r="D3" i="18"/>
  <c r="C5" i="17"/>
  <c r="C29" i="17" s="1"/>
  <c r="D3" i="17"/>
  <c r="C5" i="16"/>
  <c r="D5" i="16" s="1"/>
  <c r="D3" i="16"/>
  <c r="C5" i="15"/>
  <c r="C29" i="15" s="1"/>
  <c r="D3" i="15"/>
  <c r="C5" i="14"/>
  <c r="C29" i="14" s="1"/>
  <c r="D3" i="14"/>
  <c r="C5" i="13"/>
  <c r="C29" i="13" s="1"/>
  <c r="D3" i="13"/>
  <c r="C5" i="12"/>
  <c r="C29" i="12" s="1"/>
  <c r="D3" i="12"/>
  <c r="C5" i="11"/>
  <c r="D5" i="11" s="1"/>
  <c r="D3" i="11"/>
  <c r="C5" i="10"/>
  <c r="D5" i="10" s="1"/>
  <c r="D3" i="10"/>
  <c r="C5" i="9"/>
  <c r="D5" i="9" s="1"/>
  <c r="D3" i="9"/>
  <c r="C5" i="8"/>
  <c r="D5" i="8" s="1"/>
  <c r="D3" i="8"/>
  <c r="C5" i="7"/>
  <c r="D5" i="7" s="1"/>
  <c r="D3" i="7"/>
  <c r="C5" i="2"/>
  <c r="D5" i="2" s="1"/>
  <c r="I7" i="1"/>
  <c r="J7" i="1" s="1"/>
  <c r="K7" i="1" s="1"/>
  <c r="L7" i="1" s="1"/>
  <c r="M7" i="1" s="1"/>
  <c r="N7" i="1" s="1"/>
  <c r="O7" i="1" s="1"/>
  <c r="O31" i="1" s="1"/>
  <c r="J5" i="1"/>
  <c r="D5" i="34" l="1"/>
  <c r="E5" i="34" s="1"/>
  <c r="D5" i="12"/>
  <c r="D29" i="12" s="1"/>
  <c r="D5" i="19"/>
  <c r="E5" i="19" s="1"/>
  <c r="F5" i="19" s="1"/>
  <c r="C29" i="28"/>
  <c r="C29" i="29"/>
  <c r="C29" i="30"/>
  <c r="C29" i="31"/>
  <c r="D5" i="33"/>
  <c r="D29" i="33" s="1"/>
  <c r="C29" i="35"/>
  <c r="C29" i="36"/>
  <c r="C29" i="40"/>
  <c r="C29" i="41"/>
  <c r="D5" i="43"/>
  <c r="D29" i="43" s="1"/>
  <c r="C29" i="44"/>
  <c r="D5" i="45"/>
  <c r="E5" i="44"/>
  <c r="D29" i="44"/>
  <c r="E5" i="43"/>
  <c r="D29" i="42"/>
  <c r="E5" i="42"/>
  <c r="C29" i="42"/>
  <c r="D29" i="41"/>
  <c r="E5" i="41"/>
  <c r="E5" i="40"/>
  <c r="D29" i="40"/>
  <c r="D29" i="39"/>
  <c r="E5" i="39"/>
  <c r="C29" i="39"/>
  <c r="E5" i="38"/>
  <c r="D29" i="38"/>
  <c r="C29" i="38"/>
  <c r="E5" i="37"/>
  <c r="D29" i="37"/>
  <c r="C29" i="37"/>
  <c r="D29" i="36"/>
  <c r="E5" i="36"/>
  <c r="E5" i="35"/>
  <c r="D29" i="35"/>
  <c r="E29" i="34"/>
  <c r="F5" i="34"/>
  <c r="D29" i="34"/>
  <c r="D5" i="32"/>
  <c r="E29" i="31"/>
  <c r="F5" i="31"/>
  <c r="D29" i="31"/>
  <c r="D29" i="30"/>
  <c r="E5" i="30"/>
  <c r="D29" i="29"/>
  <c r="E5" i="29"/>
  <c r="D29" i="28"/>
  <c r="E5" i="28"/>
  <c r="E5" i="27"/>
  <c r="D29" i="27"/>
  <c r="C29" i="27"/>
  <c r="C29" i="26"/>
  <c r="D29" i="26"/>
  <c r="E5" i="26"/>
  <c r="D29" i="25"/>
  <c r="E5" i="25"/>
  <c r="C29" i="25"/>
  <c r="D29" i="24"/>
  <c r="E5" i="24"/>
  <c r="C29" i="24"/>
  <c r="D29" i="23"/>
  <c r="E5" i="23"/>
  <c r="C29" i="23"/>
  <c r="E5" i="22"/>
  <c r="D29" i="22"/>
  <c r="C29" i="22"/>
  <c r="E5" i="21"/>
  <c r="D29" i="21"/>
  <c r="C29" i="21"/>
  <c r="E5" i="20"/>
  <c r="D29" i="20"/>
  <c r="C29" i="20"/>
  <c r="D29" i="19"/>
  <c r="E5" i="18"/>
  <c r="D29" i="18"/>
  <c r="C29" i="18"/>
  <c r="D5" i="17"/>
  <c r="E5" i="16"/>
  <c r="D29" i="16"/>
  <c r="C29" i="16"/>
  <c r="D5" i="15"/>
  <c r="D5" i="14"/>
  <c r="D5" i="13"/>
  <c r="E5" i="11"/>
  <c r="D29" i="11"/>
  <c r="C29" i="11"/>
  <c r="D29" i="10"/>
  <c r="E5" i="10"/>
  <c r="C29" i="10"/>
  <c r="D29" i="9"/>
  <c r="E5" i="9"/>
  <c r="C29" i="9"/>
  <c r="E5" i="8"/>
  <c r="D29" i="8"/>
  <c r="C29" i="8"/>
  <c r="D29" i="7"/>
  <c r="E5" i="7"/>
  <c r="C29" i="7"/>
  <c r="D3" i="2"/>
  <c r="D29" i="2"/>
  <c r="E5" i="2"/>
  <c r="C29" i="2"/>
  <c r="I31" i="1"/>
  <c r="N31" i="1"/>
  <c r="M31" i="1"/>
  <c r="L31" i="1"/>
  <c r="K31" i="1"/>
  <c r="J31" i="1"/>
  <c r="E5" i="12" l="1"/>
  <c r="E29" i="12" s="1"/>
  <c r="E29" i="19"/>
  <c r="E5" i="33"/>
  <c r="E29" i="33" s="1"/>
  <c r="D29" i="45"/>
  <c r="E5" i="45"/>
  <c r="E29" i="44"/>
  <c r="F5" i="44"/>
  <c r="E29" i="43"/>
  <c r="F5" i="43"/>
  <c r="F5" i="42"/>
  <c r="E29" i="42"/>
  <c r="E29" i="41"/>
  <c r="F5" i="41"/>
  <c r="F5" i="40"/>
  <c r="E29" i="40"/>
  <c r="E29" i="39"/>
  <c r="F5" i="39"/>
  <c r="F5" i="38"/>
  <c r="E29" i="38"/>
  <c r="E29" i="37"/>
  <c r="F5" i="37"/>
  <c r="F5" i="36"/>
  <c r="E29" i="36"/>
  <c r="E29" i="35"/>
  <c r="F5" i="35"/>
  <c r="F29" i="34"/>
  <c r="G5" i="34"/>
  <c r="E5" i="32"/>
  <c r="D29" i="32"/>
  <c r="G5" i="31"/>
  <c r="F29" i="31"/>
  <c r="F5" i="30"/>
  <c r="E29" i="30"/>
  <c r="F5" i="29"/>
  <c r="E29" i="29"/>
  <c r="E29" i="28"/>
  <c r="F5" i="28"/>
  <c r="E29" i="27"/>
  <c r="F5" i="27"/>
  <c r="F5" i="26"/>
  <c r="E29" i="26"/>
  <c r="F5" i="25"/>
  <c r="E29" i="25"/>
  <c r="E29" i="24"/>
  <c r="F5" i="24"/>
  <c r="F5" i="23"/>
  <c r="E29" i="23"/>
  <c r="E29" i="22"/>
  <c r="F5" i="22"/>
  <c r="E29" i="21"/>
  <c r="F5" i="21"/>
  <c r="F5" i="20"/>
  <c r="E29" i="20"/>
  <c r="F29" i="19"/>
  <c r="G5" i="19"/>
  <c r="E29" i="18"/>
  <c r="F5" i="18"/>
  <c r="D29" i="17"/>
  <c r="E5" i="17"/>
  <c r="E29" i="16"/>
  <c r="F5" i="16"/>
  <c r="D29" i="15"/>
  <c r="E5" i="15"/>
  <c r="D29" i="14"/>
  <c r="E5" i="14"/>
  <c r="D29" i="13"/>
  <c r="E5" i="13"/>
  <c r="F5" i="12"/>
  <c r="E29" i="11"/>
  <c r="F5" i="11"/>
  <c r="F5" i="10"/>
  <c r="E29" i="10"/>
  <c r="F5" i="9"/>
  <c r="E29" i="9"/>
  <c r="F5" i="8"/>
  <c r="E29" i="8"/>
  <c r="E29" i="7"/>
  <c r="F5" i="7"/>
  <c r="E29" i="2"/>
  <c r="F5" i="2"/>
  <c r="F5" i="33" l="1"/>
  <c r="F29" i="33" s="1"/>
  <c r="F5" i="45"/>
  <c r="E29" i="45"/>
  <c r="F29" i="44"/>
  <c r="G5" i="44"/>
  <c r="F29" i="43"/>
  <c r="G5" i="43"/>
  <c r="F29" i="42"/>
  <c r="G5" i="42"/>
  <c r="G5" i="41"/>
  <c r="F29" i="41"/>
  <c r="G5" i="40"/>
  <c r="F29" i="40"/>
  <c r="F29" i="39"/>
  <c r="G5" i="39"/>
  <c r="F29" i="38"/>
  <c r="G5" i="38"/>
  <c r="G5" i="37"/>
  <c r="F29" i="37"/>
  <c r="G5" i="36"/>
  <c r="F29" i="36"/>
  <c r="F29" i="35"/>
  <c r="G5" i="35"/>
  <c r="G29" i="34"/>
  <c r="H5" i="34"/>
  <c r="F5" i="32"/>
  <c r="E29" i="32"/>
  <c r="H5" i="31"/>
  <c r="G29" i="31"/>
  <c r="F29" i="30"/>
  <c r="G5" i="30"/>
  <c r="G5" i="29"/>
  <c r="F29" i="29"/>
  <c r="G5" i="28"/>
  <c r="F29" i="28"/>
  <c r="F29" i="27"/>
  <c r="G5" i="27"/>
  <c r="F29" i="26"/>
  <c r="G5" i="26"/>
  <c r="G5" i="25"/>
  <c r="F29" i="25"/>
  <c r="F29" i="24"/>
  <c r="G5" i="24"/>
  <c r="F29" i="23"/>
  <c r="G5" i="23"/>
  <c r="G5" i="22"/>
  <c r="F29" i="22"/>
  <c r="F29" i="21"/>
  <c r="G5" i="21"/>
  <c r="G5" i="20"/>
  <c r="F29" i="20"/>
  <c r="G29" i="19"/>
  <c r="H5" i="19"/>
  <c r="F29" i="18"/>
  <c r="G5" i="18"/>
  <c r="F5" i="17"/>
  <c r="E29" i="17"/>
  <c r="G5" i="16"/>
  <c r="F29" i="16"/>
  <c r="E29" i="15"/>
  <c r="F5" i="15"/>
  <c r="E29" i="14"/>
  <c r="F5" i="14"/>
  <c r="F5" i="13"/>
  <c r="E29" i="13"/>
  <c r="F29" i="12"/>
  <c r="G5" i="12"/>
  <c r="F29" i="11"/>
  <c r="G5" i="11"/>
  <c r="G5" i="10"/>
  <c r="F29" i="10"/>
  <c r="F29" i="9"/>
  <c r="G5" i="9"/>
  <c r="F29" i="8"/>
  <c r="G5" i="8"/>
  <c r="F29" i="7"/>
  <c r="G5" i="7"/>
  <c r="F29" i="2"/>
  <c r="G5" i="2"/>
  <c r="G5" i="33" l="1"/>
  <c r="G29" i="33" s="1"/>
  <c r="F29" i="45"/>
  <c r="G5" i="45"/>
  <c r="H5" i="44"/>
  <c r="G29" i="44"/>
  <c r="H5" i="43"/>
  <c r="G29" i="43"/>
  <c r="G29" i="42"/>
  <c r="H5" i="42"/>
  <c r="G29" i="41"/>
  <c r="H5" i="41"/>
  <c r="G29" i="40"/>
  <c r="H5" i="40"/>
  <c r="G29" i="39"/>
  <c r="H5" i="39"/>
  <c r="G29" i="38"/>
  <c r="H5" i="38"/>
  <c r="G29" i="37"/>
  <c r="H5" i="37"/>
  <c r="G29" i="36"/>
  <c r="H5" i="36"/>
  <c r="G29" i="35"/>
  <c r="H5" i="35"/>
  <c r="H29" i="34"/>
  <c r="I5" i="34"/>
  <c r="I29" i="34" s="1"/>
  <c r="F29" i="32"/>
  <c r="G5" i="32"/>
  <c r="H29" i="31"/>
  <c r="I5" i="31"/>
  <c r="I29" i="31" s="1"/>
  <c r="G29" i="30"/>
  <c r="H5" i="30"/>
  <c r="G29" i="29"/>
  <c r="H5" i="29"/>
  <c r="G29" i="28"/>
  <c r="H5" i="28"/>
  <c r="H5" i="27"/>
  <c r="G29" i="27"/>
  <c r="G29" i="26"/>
  <c r="H5" i="26"/>
  <c r="G29" i="25"/>
  <c r="H5" i="25"/>
  <c r="H5" i="24"/>
  <c r="G29" i="24"/>
  <c r="G29" i="23"/>
  <c r="H5" i="23"/>
  <c r="G29" i="22"/>
  <c r="H5" i="22"/>
  <c r="G29" i="21"/>
  <c r="H5" i="21"/>
  <c r="G29" i="20"/>
  <c r="H5" i="20"/>
  <c r="H29" i="19"/>
  <c r="I5" i="19"/>
  <c r="I29" i="19" s="1"/>
  <c r="G29" i="18"/>
  <c r="H5" i="18"/>
  <c r="F29" i="17"/>
  <c r="G5" i="17"/>
  <c r="G29" i="16"/>
  <c r="H5" i="16"/>
  <c r="F29" i="15"/>
  <c r="G5" i="15"/>
  <c r="G5" i="14"/>
  <c r="F29" i="13"/>
  <c r="G5" i="13"/>
  <c r="G29" i="12"/>
  <c r="H5" i="12"/>
  <c r="G29" i="11"/>
  <c r="H5" i="11"/>
  <c r="H5" i="10"/>
  <c r="G29" i="10"/>
  <c r="H5" i="9"/>
  <c r="G29" i="9"/>
  <c r="G29" i="8"/>
  <c r="H5" i="8"/>
  <c r="H5" i="7"/>
  <c r="G29" i="7"/>
  <c r="G29" i="2"/>
  <c r="H5" i="2"/>
  <c r="H5" i="33" l="1"/>
  <c r="H29" i="33" s="1"/>
  <c r="G29" i="45"/>
  <c r="H5" i="45"/>
  <c r="H29" i="44"/>
  <c r="I5" i="44"/>
  <c r="I29" i="44" s="1"/>
  <c r="H29" i="43"/>
  <c r="I5" i="43"/>
  <c r="I29" i="43" s="1"/>
  <c r="H29" i="42"/>
  <c r="I5" i="42"/>
  <c r="I29" i="42" s="1"/>
  <c r="I5" i="41"/>
  <c r="I29" i="41" s="1"/>
  <c r="H29" i="41"/>
  <c r="H29" i="40"/>
  <c r="I5" i="40"/>
  <c r="I29" i="40" s="1"/>
  <c r="H29" i="39"/>
  <c r="I5" i="39"/>
  <c r="I29" i="39" s="1"/>
  <c r="H29" i="38"/>
  <c r="I5" i="38"/>
  <c r="I29" i="38" s="1"/>
  <c r="H29" i="37"/>
  <c r="I5" i="37"/>
  <c r="I29" i="37" s="1"/>
  <c r="H29" i="36"/>
  <c r="I5" i="36"/>
  <c r="I29" i="36" s="1"/>
  <c r="H29" i="35"/>
  <c r="I5" i="35"/>
  <c r="I29" i="35" s="1"/>
  <c r="G29" i="32"/>
  <c r="H5" i="32"/>
  <c r="H29" i="30"/>
  <c r="I5" i="30"/>
  <c r="I29" i="30" s="1"/>
  <c r="H29" i="29"/>
  <c r="I5" i="29"/>
  <c r="I29" i="29" s="1"/>
  <c r="H29" i="28"/>
  <c r="I5" i="28"/>
  <c r="I29" i="28" s="1"/>
  <c r="H29" i="27"/>
  <c r="I5" i="27"/>
  <c r="I29" i="27" s="1"/>
  <c r="H29" i="26"/>
  <c r="I5" i="26"/>
  <c r="I29" i="26" s="1"/>
  <c r="H29" i="25"/>
  <c r="I5" i="25"/>
  <c r="I29" i="25" s="1"/>
  <c r="H29" i="24"/>
  <c r="I5" i="24"/>
  <c r="I29" i="24" s="1"/>
  <c r="H29" i="23"/>
  <c r="I5" i="23"/>
  <c r="I29" i="23" s="1"/>
  <c r="H29" i="22"/>
  <c r="I5" i="22"/>
  <c r="I29" i="22" s="1"/>
  <c r="H29" i="21"/>
  <c r="I5" i="21"/>
  <c r="I29" i="21" s="1"/>
  <c r="H29" i="20"/>
  <c r="I5" i="20"/>
  <c r="I29" i="20" s="1"/>
  <c r="I5" i="18"/>
  <c r="I29" i="18" s="1"/>
  <c r="H29" i="18"/>
  <c r="G29" i="17"/>
  <c r="H5" i="17"/>
  <c r="H29" i="16"/>
  <c r="I5" i="16"/>
  <c r="I29" i="16" s="1"/>
  <c r="G29" i="15"/>
  <c r="H5" i="15"/>
  <c r="G29" i="14"/>
  <c r="H5" i="14"/>
  <c r="G29" i="13"/>
  <c r="H5" i="13"/>
  <c r="H29" i="12"/>
  <c r="I5" i="12"/>
  <c r="I29" i="12" s="1"/>
  <c r="H29" i="11"/>
  <c r="I5" i="11"/>
  <c r="I29" i="11" s="1"/>
  <c r="I5" i="10"/>
  <c r="I29" i="10" s="1"/>
  <c r="H29" i="10"/>
  <c r="H29" i="9"/>
  <c r="I5" i="9"/>
  <c r="I29" i="9" s="1"/>
  <c r="H29" i="8"/>
  <c r="I5" i="8"/>
  <c r="I29" i="8" s="1"/>
  <c r="I5" i="7"/>
  <c r="I29" i="7" s="1"/>
  <c r="H29" i="7"/>
  <c r="H29" i="2"/>
  <c r="I5" i="2"/>
  <c r="I29" i="2" s="1"/>
  <c r="I5" i="33" l="1"/>
  <c r="I29" i="33" s="1"/>
  <c r="H29" i="45"/>
  <c r="I5" i="45"/>
  <c r="I29" i="45" s="1"/>
  <c r="H29" i="32"/>
  <c r="I5" i="32"/>
  <c r="I29" i="32" s="1"/>
  <c r="I5" i="17"/>
  <c r="I29" i="17" s="1"/>
  <c r="H29" i="17"/>
  <c r="H29" i="15"/>
  <c r="I5" i="15"/>
  <c r="I29" i="15" s="1"/>
  <c r="H29" i="14"/>
  <c r="I5" i="14"/>
  <c r="I29" i="14" s="1"/>
  <c r="H29" i="13"/>
  <c r="I5" i="13"/>
  <c r="I29" i="13" s="1"/>
</calcChain>
</file>

<file path=xl/sharedStrings.xml><?xml version="1.0" encoding="utf-8"?>
<sst xmlns="http://schemas.openxmlformats.org/spreadsheetml/2006/main" count="1309" uniqueCount="379">
  <si>
    <t>Vakken</t>
  </si>
  <si>
    <t>?</t>
  </si>
  <si>
    <t>Portfolio</t>
  </si>
  <si>
    <t>Creatief &amp; Ondernemend</t>
  </si>
  <si>
    <t>Online</t>
  </si>
  <si>
    <t>Storytelling</t>
  </si>
  <si>
    <t>Studio Digitaal</t>
  </si>
  <si>
    <t>Communicatie</t>
  </si>
  <si>
    <t>Cross Media</t>
  </si>
  <si>
    <t>Kunst en maatschappij</t>
  </si>
  <si>
    <t>A3</t>
  </si>
  <si>
    <t>Alexianenplein 1</t>
  </si>
  <si>
    <t>Alexianenplein 2</t>
  </si>
  <si>
    <t>Template</t>
  </si>
  <si>
    <t>Maandag</t>
  </si>
  <si>
    <t>Dinsdag</t>
  </si>
  <si>
    <t>Woensdag</t>
  </si>
  <si>
    <t>Donderdag</t>
  </si>
  <si>
    <t>Vrijdag</t>
  </si>
  <si>
    <t>Zaterdag</t>
  </si>
  <si>
    <t>Zondag</t>
  </si>
  <si>
    <t>To-do</t>
  </si>
  <si>
    <t>Week</t>
  </si>
  <si>
    <t>Info</t>
  </si>
  <si>
    <t>Startdatum</t>
  </si>
  <si>
    <t>Crossmedia</t>
  </si>
  <si>
    <t>Keuzevak</t>
  </si>
  <si>
    <t>Totaal aantal weken</t>
  </si>
  <si>
    <t>Vakantie</t>
  </si>
  <si>
    <t>Vragen hoe ISP keuzevak werkt</t>
  </si>
  <si>
    <t>Tegen januari idee hebben waar je stage wilt doen</t>
  </si>
  <si>
    <t>Deadline ISP invullen</t>
  </si>
  <si>
    <t>Behance pagina en account aanmaken en interessante cases opschrijven</t>
  </si>
  <si>
    <t>Laptop opladen en files erop zetten</t>
  </si>
  <si>
    <t>US BY NIGHT</t>
  </si>
  <si>
    <t>Stage</t>
  </si>
  <si>
    <t>Speciaal</t>
  </si>
  <si>
    <t>Waagnatie, Rijnkaai 150, Antwerpen</t>
  </si>
  <si>
    <t>US BY NIGHT betalen en excel sheet invullen (zie mededeling)</t>
  </si>
  <si>
    <t>Vanaf ISP: studio digitaal kalender toevoegen hier, meer accuraat als acadmische kalender</t>
  </si>
  <si>
    <t>Geen les in namiddag</t>
  </si>
  <si>
    <t>Agenda leeg</t>
  </si>
  <si>
    <t>Opdracht #1 - DAP</t>
  </si>
  <si>
    <t>Briefing opdracht #1 - GOALS!</t>
  </si>
  <si>
    <t>Wio - Thomas</t>
  </si>
  <si>
    <t>Wio - Kilian</t>
  </si>
  <si>
    <t>Wio</t>
  </si>
  <si>
    <t>Rush GT</t>
  </si>
  <si>
    <t>9U - Hocus Focus</t>
  </si>
  <si>
    <t>In progress expo</t>
  </si>
  <si>
    <t>9u - hocus focus</t>
  </si>
  <si>
    <t>Wio - Thomas - Kilian</t>
  </si>
  <si>
    <t>Wonder</t>
  </si>
  <si>
    <t>Afspraak 10U in Kortrijk</t>
  </si>
  <si>
    <t>Opdracht #2 - RenAIssance</t>
  </si>
  <si>
    <t>Speeddate - Feedback</t>
  </si>
  <si>
    <t>10u: briefing opdracht #2</t>
  </si>
  <si>
    <t>Intensieve werkweek / geen atelier</t>
  </si>
  <si>
    <t>10U: briefing opdracht</t>
  </si>
  <si>
    <t>Presentaties</t>
  </si>
  <si>
    <t>Deadline eiwit shift</t>
  </si>
  <si>
    <t>Projectweek eiwit shift</t>
  </si>
  <si>
    <t>Geen les</t>
  </si>
  <si>
    <t>Studio Digital: Hack the future</t>
  </si>
  <si>
    <t>Pitch @ MSK</t>
  </si>
  <si>
    <t>9U: Hokus Focus</t>
  </si>
  <si>
    <t>Wio  - Kilian</t>
  </si>
  <si>
    <t>9U: hokus focus</t>
  </si>
  <si>
    <t>Afbraak</t>
  </si>
  <si>
    <t>10U: feedback opdracht #3</t>
  </si>
  <si>
    <t>Briefing opdracht #3: FUTURE OF THE InTerwebZ</t>
  </si>
  <si>
    <t>Kerstvakantie</t>
  </si>
  <si>
    <t>Einde semester 1!</t>
  </si>
  <si>
    <t>Paasmaandag (digitaal kalender is mss fout)</t>
  </si>
  <si>
    <t>Studiereis (briefing Toledo)</t>
  </si>
  <si>
    <t>Kilian</t>
  </si>
  <si>
    <t>Geen les + opstellen OCD + er is al les op zat!</t>
  </si>
  <si>
    <t>Opencampusdag - AANWEZIG!</t>
  </si>
  <si>
    <t>Opencampusdag</t>
  </si>
  <si>
    <t>TBC - Bezoek aan expo New Technical Art Award</t>
  </si>
  <si>
    <t>Deadline indienen internationale opdracht - 23U</t>
  </si>
  <si>
    <t>Hemelvaart? (als het hemelvaart is, geen les)</t>
  </si>
  <si>
    <t>Als het pinksteren is, geen les</t>
  </si>
  <si>
    <t>Proefjury</t>
  </si>
  <si>
    <t>Deadline indienen bachelorproef op Toledo - 23U</t>
  </si>
  <si>
    <t>JURY</t>
  </si>
  <si>
    <t>Opbouw graduation show</t>
  </si>
  <si>
    <t>Graduation show</t>
  </si>
  <si>
    <t>Studentenkaart meedoen!</t>
  </si>
  <si>
    <t>3D</t>
  </si>
  <si>
    <t>D110</t>
  </si>
  <si>
    <t>Behance fixen</t>
  </si>
  <si>
    <t>Web</t>
  </si>
  <si>
    <t>C15</t>
  </si>
  <si>
    <t>Wat toon je</t>
  </si>
  <si>
    <t>Wat zeg je</t>
  </si>
  <si>
    <t>C15 (kan lokaal anders zijn)</t>
  </si>
  <si>
    <t>expertennamiddag</t>
  </si>
  <si>
    <t>Deadline portfolio: geen les - enkel inleveren</t>
  </si>
  <si>
    <t>Stageplekken beginnen zoeken</t>
  </si>
  <si>
    <t>US BY NIGHT ticket zou ontvangen moeten zijn</t>
  </si>
  <si>
    <t>attest ding</t>
  </si>
  <si>
    <t>planning comunicatie fixen</t>
  </si>
  <si>
    <t>C&amp;O: kostprijsberekning en offertes taak deadline 23u59</t>
  </si>
  <si>
    <t>Portfolio, al zoveel mogelijk af hebben, beste werken selecteren, representatief, ondersteunen wat je wil doen, minstens 5 maar meer verwacht, site of boekvorm</t>
  </si>
  <si>
    <t>Met theo naar coole winkel gaan in antwerpen? (12U in antwerpen)</t>
  </si>
  <si>
    <t>Portfolio beginnen</t>
  </si>
  <si>
    <t>mss werken voor atelier ofzo al (storyboarding)</t>
  </si>
  <si>
    <t>Hack the future inschrijven</t>
  </si>
  <si>
    <t>Google doc maken</t>
  </si>
  <si>
    <t>Studio digitaal over concept nadenken en verder uitwerken, experimenteren, inschrijven feedback</t>
  </si>
  <si>
    <t>Insta account maken portfolio</t>
  </si>
  <si>
    <t>Werken portfolio</t>
  </si>
  <si>
    <t>Werken digitaal</t>
  </si>
  <si>
    <t>feedback inschrijven</t>
  </si>
  <si>
    <t>Speciale rush - briefing 9:00</t>
  </si>
  <si>
    <t>Feedback 11u40</t>
  </si>
  <si>
    <t>Inschrijven volgende feedback maandag - visuele tests hebben</t>
  </si>
  <si>
    <t>portfoliodag – feedback van experten</t>
  </si>
  <si>
    <t>feedback (Hans + gastdocent)</t>
  </si>
  <si>
    <t>feedback - presentaties optioneel</t>
  </si>
  <si>
    <t>Les gaat niet door</t>
  </si>
  <si>
    <t>Indienen opdracht #1 - studio digitaal</t>
  </si>
  <si>
    <t>Op feedback met visual dingen en functionality afhebben</t>
  </si>
  <si>
    <t>Presentaties kunst &amp; maatschappij</t>
  </si>
  <si>
    <t>Communicatie opdracht tegen 23:59s</t>
  </si>
  <si>
    <t>Communicatie nieuwe opdracht tegen 23:59</t>
  </si>
  <si>
    <t>Deadline RAMKOT rush</t>
  </si>
  <si>
    <t>14u00 Stijn D'hondt feedback experten portfolionamiddag opschrijven</t>
  </si>
  <si>
    <t>Vragen frank voor halloween night daar slapen</t>
  </si>
  <si>
    <t>Wonder festival kortrijk, aanwezig zijn aan de budafabriek om 10u!</t>
  </si>
  <si>
    <t>Portfolio af hebben en mails sturen</t>
  </si>
  <si>
    <t>Feedback deftig formuleren</t>
  </si>
  <si>
    <t>HTML/CSS UI MAKEN</t>
  </si>
  <si>
    <t>2 X 6 INSTAGRAM BEELDEN (zie specs briefing)</t>
  </si>
  <si>
    <t>3 beelden voor print</t>
  </si>
  <si>
    <t>Procesfolio updaten (zie specs briefing)</t>
  </si>
  <si>
    <t>Case study pagina op je Behance page (zie specs briefing)</t>
  </si>
  <si>
    <t>Afwerken &amp; indienen</t>
  </si>
  <si>
    <t>Animatie maken van product dat werkt</t>
  </si>
  <si>
    <t>Zoveel mogelijk code laten werken</t>
  </si>
  <si>
    <t>Feedback opschrijven van portfolio feedback</t>
  </si>
  <si>
    <t>assets blender 3D ontwepr downloaden en op laptop hebben</t>
  </si>
  <si>
    <t>log van cm: bv. ik heb vandaag 10 assets toegevoegd</t>
  </si>
  <si>
    <t>Mobiele versie ontwerpen</t>
  </si>
  <si>
    <t>MOTIVATIEMAIL (2 versies) (oef. 2.) deadline communicatie</t>
  </si>
  <si>
    <t>google doc updaten</t>
  </si>
  <si>
    <t>deadlines toevoegen nieuwe opdracht</t>
  </si>
  <si>
    <t>Werkweek (er is geen atelier, geen feedback deze week)</t>
  </si>
  <si>
    <t>Studio-overschrijdende projectweek</t>
  </si>
  <si>
    <t>Opstellen en in werking stellen van de klok</t>
  </si>
  <si>
    <t>Voormiddag: afbreken en weghalen van de klokken.</t>
  </si>
  <si>
    <t>Feedback + concept inlocken</t>
  </si>
  <si>
    <t>14 uur brainstormen opdracht digitaal (met nette?)</t>
  </si>
  <si>
    <t>Brainstormen digitaal</t>
  </si>
  <si>
    <t>deadlines communicatie toevoegen</t>
  </si>
  <si>
    <t>STYLOS</t>
  </si>
  <si>
    <t>Einddatum communicatie opdrachten alle 3</t>
  </si>
  <si>
    <t>Deadline communicatie opdracht top 3 bureaus</t>
  </si>
  <si>
    <t>communicatie deadline opdracht tailor made stunten</t>
  </si>
  <si>
    <t>hoe is de projectweek? Naar school dan voor dnd?</t>
  </si>
  <si>
    <t>A4</t>
  </si>
  <si>
    <t>8:45 - Auditorium A4!!!!</t>
  </si>
  <si>
    <t>Introductie door Kristof Rubens en Koen Thewissen, teamvorming en eerste gesprekken met doelgroep-experts.</t>
  </si>
  <si>
    <t>Voorbereiding en uitvoering van ‘rapid research', gevolgd door eerste conceptdefinitie met docentcoaching.</t>
  </si>
  <si>
    <t>Reviewmoment met docenten voor feedback op onderzoek en concepten.</t>
  </si>
  <si>
    <t>Expertinterviews ter validatie van inzichten, gevolgd door verdere uitwerking onder begeleiding van docenten.</t>
  </si>
  <si>
    <t>Oefening op team dynamiek en start van de tweede reviewronde.</t>
  </si>
  <si>
    <t>Voortzetting van review 2 volgens time slots.</t>
  </si>
  <si>
    <t xml:space="preserve">Jury-presentaties </t>
  </si>
  <si>
    <t>Jury-presentaties</t>
  </si>
  <si>
    <t>Frank sticker</t>
  </si>
  <si>
    <t>Naar dad</t>
  </si>
  <si>
    <t>LES KUNT EN MAATSCHAPPIJ OM 19UI!!</t>
  </si>
  <si>
    <t>personal branding: tekstje over jezelf tegen 11/11/25</t>
  </si>
  <si>
    <t>digitale stage: indienen startverslag 15/02</t>
  </si>
  <si>
    <t>digitale stage: indienen my internship is cooler then yours 02/03</t>
  </si>
  <si>
    <t>digitale stage: indienen eindverslag &amp; kritische reflectie 11/05</t>
  </si>
  <si>
    <t>digitale stage: indienen evaluatieformulier 29/05</t>
  </si>
  <si>
    <t>Communicatie stunten oefening opnieuw maken</t>
  </si>
  <si>
    <t>indienen evaluatieformulier van stagementor</t>
  </si>
  <si>
    <t>Communicatie: Jezelf en je werk presenteren (why how what ding ofzoiets)</t>
  </si>
  <si>
    <t>artikels presenteren, lezen en feedback geven (KILIAN INTERVIEWEN ALS DESIGNER)</t>
  </si>
  <si>
    <t>Wie contacteren? Minstens 3 pistes. Doen! Planning maken, Taken verdelen als je in een groepje werkt</t>
  </si>
  <si>
    <t>tekstje over jezelf maken</t>
  </si>
  <si>
    <t>Socials doen van portfolio</t>
  </si>
  <si>
    <t>Feedback 12u</t>
  </si>
  <si>
    <t>Naar Zoé</t>
  </si>
  <si>
    <t>Alles op google doc zetten eiwitshift</t>
  </si>
  <si>
    <t>BIJ MOM ZOE CADEAU HALEN</t>
  </si>
  <si>
    <t>Video: resultaat in (filmscène in mov, mp4 of QuickTime) + setverslag</t>
  </si>
  <si>
    <t>Webdesign inhalen</t>
  </si>
  <si>
    <t>Webdesign inhalen en indienen</t>
  </si>
  <si>
    <t>Boekbinden</t>
  </si>
  <si>
    <t>D204</t>
  </si>
  <si>
    <t>Webdesign II</t>
  </si>
  <si>
    <t>D301</t>
  </si>
  <si>
    <t>INDIENEN CROSSMEDIA KERSTRECES</t>
  </si>
  <si>
    <t>Alles inpakken in de avond</t>
  </si>
  <si>
    <t>Deadline alles communicatie taken</t>
  </si>
  <si>
    <t>Communicatie vrouw komt in de studios bespreken hoe het gaat met stage zoeken</t>
  </si>
  <si>
    <t>Socials afwerken portfolio</t>
  </si>
  <si>
    <t>Mails sturen</t>
  </si>
  <si>
    <t>Werken klok ding</t>
  </si>
  <si>
    <t>deadline communicatie starr-methode</t>
  </si>
  <si>
    <t>CHECKEN MATERIAALLIJST BOEKBINDEN</t>
  </si>
  <si>
    <t>Les 5</t>
  </si>
  <si>
    <t>Les 4</t>
  </si>
  <si>
    <t>Les 3</t>
  </si>
  <si>
    <t>Les 2</t>
  </si>
  <si>
    <t>Les 1</t>
  </si>
  <si>
    <t>bellen voor digitaal ding</t>
  </si>
  <si>
    <t>ZOE BDAY!</t>
  </si>
  <si>
    <t>VOOR THEOS FOTOS MAKEN!!!!!</t>
  </si>
  <si>
    <t>Theo fotos</t>
  </si>
  <si>
    <t>snacks en cadeautje meedoen</t>
  </si>
  <si>
    <t>bday kaart</t>
  </si>
  <si>
    <t>deadline peerfeedback half half</t>
  </si>
  <si>
    <t>video deadline indienen film</t>
  </si>
  <si>
    <t>WERKEN KLOK</t>
  </si>
  <si>
    <t>KLOK MOET AF ZIJN</t>
  </si>
  <si>
    <t>KLOK MOET AFZIJN</t>
  </si>
  <si>
    <t>Locatie fixen klok!</t>
  </si>
  <si>
    <t>stage bedrijven sturen</t>
  </si>
  <si>
    <t>EIND STAGE</t>
  </si>
  <si>
    <t>OISOI STUDIO</t>
  </si>
  <si>
    <t>Tennisbaanstraat 41, 9000 Gent. </t>
  </si>
  <si>
    <t>OISOI STUDIO 14:00!!!!</t>
  </si>
  <si>
    <t xml:space="preserve">VISUELE STIJL VAST + NAAM VINDEN
</t>
  </si>
  <si>
    <t xml:space="preserve">MAILS STUREN PLEKKEN VOOR OP STELLEN
</t>
  </si>
  <si>
    <t xml:space="preserve">VISUALS AF + WERKEND OPSTELLING
</t>
  </si>
  <si>
    <t xml:space="preserve">Alle visuals functioneel
</t>
  </si>
  <si>
    <t xml:space="preserve">Extra’s (geluid), (posters voor de doos design), Opstellen en in werking stellen van de klok
</t>
  </si>
  <si>
    <t xml:space="preserve">Voormiddag: afbreken en weghalen van de klokken. In de namiddag start de nieuwe briefing.
</t>
  </si>
  <si>
    <t>communicatie taken maken</t>
  </si>
  <si>
    <t>UITGAAN MET THEO</t>
  </si>
  <si>
    <t>Uitgaan met theo en geld hebben voor uitgaan</t>
  </si>
  <si>
    <t>FEESTJE ZOE!!!!!</t>
  </si>
  <si>
    <t>INTOX DRIVER WINTER EVENT</t>
  </si>
  <si>
    <t>Fruitsap (heeft alex al?)  voor pisang en eten meenemen</t>
  </si>
  <si>
    <t>LES SKIPPEN VOOR UITGAAN NAAR THEO?</t>
  </si>
  <si>
    <t>FILMEN VOOR VIDEO KUNST EN MAATSCHAPPIJ</t>
  </si>
  <si>
    <t>video editen voor storytelling</t>
  </si>
  <si>
    <t>materiaal kopen boekbinden</t>
  </si>
  <si>
    <t>NAAM VINDEN KLOK</t>
  </si>
  <si>
    <t>Extra’s (geluid), (posters voor de doos design), Opstellen en in werking stellen van de klok</t>
  </si>
  <si>
    <t>5 euro iedereen</t>
  </si>
  <si>
    <t>webdesign indienen</t>
  </si>
  <si>
    <t>SETVERSLAG OOK INDIENEN</t>
  </si>
  <si>
    <t>beelden print enzo maken voor klok</t>
  </si>
  <si>
    <t>DEADLINE: ALLE DELIVERABLES KLOK</t>
  </si>
  <si>
    <t>START STAGE!!!!</t>
  </si>
  <si>
    <t>EINDE STAGE</t>
  </si>
  <si>
    <t>14U20 FEEDBACK HANS!!!!!!!!!!!!!!!!!!</t>
  </si>
  <si>
    <t>AL STUFF INPAKKEN VOOR NAAR DAD?</t>
  </si>
  <si>
    <t>STUDIO VROEMVROEM</t>
  </si>
  <si>
    <t>Ekkergemstraat 199</t>
  </si>
  <si>
    <t>kettingen theo en juwelen</t>
  </si>
  <si>
    <t>BOOKMAKING ALTERNATIEVE OPDRACHT</t>
  </si>
  <si>
    <t>teamviewer op die laptop zetten en automatisch laten booten</t>
  </si>
  <si>
    <t>HANDTRACKING MAKEN</t>
  </si>
  <si>
    <t>10 DEC KUNST DING VOORSTELLEN ONS GROEPJE</t>
  </si>
  <si>
    <t>VIDEO EDITEN KUNST EN MAATSCHAPPIJ</t>
  </si>
  <si>
    <t>theo makeup stuff</t>
  </si>
  <si>
    <t>volgende week vrijdag aan stage laten weten van vroemvroem</t>
  </si>
  <si>
    <t>NAAR GAMESTATE GAAN VOOR TICKETS EXPIREN</t>
  </si>
  <si>
    <t>C&amp;O: Projectplan</t>
  </si>
  <si>
    <t>C&amp;O: ondernemingsplan en offerte</t>
  </si>
  <si>
    <t>Afspraak om 9u in het atelier (want de goedheilig man komt langs), nadien gaan we samen alle klokken gaan bekijken. Zorg dat je met de fiets bent, wie echt geen fiets heeft kan voor de laatste locatie mee met Kilian in de auto.</t>
  </si>
  <si>
    <t>Opbouw van jullie klok, jullie hebben de hele dag tijd om deze op te bouwen. Het atelier is ondertussen open en de docenten zijn aanwezig mochten jullie vragen hebben. Neem voldoende beeldmateriaal van de opbouw!</t>
  </si>
  <si>
    <t>teaser klok maken (5s, mp4, 25fps, 1080p, 16:9)</t>
  </si>
  <si>
    <t>klok ding op portfolio toevoegen</t>
  </si>
  <si>
    <t>alles op google doc toevoegen</t>
  </si>
  <si>
    <t>Schleiper dingen kopen voor bookmaking</t>
  </si>
  <si>
    <t>Bookmaking inhalen</t>
  </si>
  <si>
    <t>rest voor klok opdracht al maken (visuals enzo)</t>
  </si>
  <si>
    <t>8:30 AL AAN INSTALLATIE ZIJN VOOR TE TESTEN!!!!!!!!!!</t>
  </si>
  <si>
    <t>uitgebrprint aritkel binnen 2 weken AFGEPRINT IN DE LES MEEHEBBEN</t>
  </si>
  <si>
    <t>STORYTELLING DEADLINE MYTHOLOGIE PRESENTATIE (BROWSER EXTENSION MOCKUP DIE TOONT HOE JE DOOMSCROLLED/ALS HET TE VEEL IS, DAN CRASHED HET SCHIP EN VERLIES JE JE STREAK EN VERLIES JE VAN JE VRIENDEN)</t>
  </si>
  <si>
    <t>15/12 20u visual design stickers</t>
  </si>
  <si>
    <t>10U: briefing nieuwe opdracht</t>
  </si>
  <si>
    <t>Briefing van de laatste opdracht om 10u</t>
  </si>
  <si>
    <t xml:space="preserve">ons begeleidingsmoment is online voor BMC &amp; financieel plan.
We zullen in groepjes van 3 werken. </t>
  </si>
  <si>
    <t>GROEPJE KIEZEN VAN 3 VOOR C&amp;O</t>
  </si>
  <si>
    <t>Kerstfeestje</t>
  </si>
  <si>
    <t>16.30 DINSDAG C&amp;O ONLINE</t>
  </si>
  <si>
    <t>14:20 FEEDBACK</t>
  </si>
  <si>
    <t>16:30 C&amp;O Online feedback</t>
  </si>
  <si>
    <t>deadline opdracht digitaal: dinsdag 20 januari 2026 – op de jury</t>
  </si>
  <si>
    <t>vrijdag pitch ideeen</t>
  </si>
  <si>
    <t>Final draft test/presentatie: week voorafgaand aan jury</t>
  </si>
  <si>
    <t xml:space="preserve">communicatie uitgeprinte artikel en fluostiften meedoen </t>
  </si>
  <si>
    <t>PORTFOLIO: portfolio, visitekaartje, motivatiebrief
30, 0, 255
#ff9100
Fonts:
Geist Mono
Gallient
moeten inhoudelijk tonen wie je bent en wat je kan, en vormellijk passen
naam en contactgegevens vermelden
ook motivatiebrief in je stijl!
Motivatiemail van communicatie gebruiken hiervoor</t>
  </si>
  <si>
    <t>portfolio: 16 DECEMBER PRINT EN DIGITAAL INDIENEN</t>
  </si>
  <si>
    <t>DOCUMENTAIRE KILIAN MAKEN, MIOET KLAAR ZIJN VOOR PRINT</t>
  </si>
  <si>
    <t>Studio digitaal pitch maken ofzo</t>
  </si>
  <si>
    <t>email toevoegen behance card</t>
  </si>
  <si>
    <t>Op feedback gaan</t>
  </si>
  <si>
    <t>Email toevoegen card
Behance</t>
  </si>
  <si>
    <t>BOOKMAKING INHALEN HEEL DE DAG!</t>
  </si>
  <si>
    <t>VANDAAG COMMUNICATIE DING MAKEN EN AFPRINTEN</t>
  </si>
  <si>
    <t>BOOKMAKING INHALEN</t>
  </si>
  <si>
    <t>CROSSMEDIA INDIENEN</t>
  </si>
  <si>
    <t>WEBDESIGN INHALEN ENE LES</t>
  </si>
  <si>
    <t>FYSIEK INDIENEN? NAAR LES?</t>
  </si>
  <si>
    <t>INDIENEN CROSSMEDIAS ALLEMAAL</t>
  </si>
  <si>
    <t>Fysieke visitekaartje afgeven</t>
  </si>
  <si>
    <t>9-13U</t>
  </si>
  <si>
    <t>LES GEVEN VRIJDAG LOTTIE FILES EN HOVER ANIMATIE MAKEN</t>
  </si>
  <si>
    <t>rushen op portfolio en insta zetten</t>
  </si>
  <si>
    <t>17:45 C&amp;O Online feedback</t>
  </si>
  <si>
    <t xml:space="preserve">vliegertje en logboek indienen </t>
  </si>
  <si>
    <t>webdesign indienen (website, extra p5 dingetje)</t>
  </si>
  <si>
    <t>INDIENEN COMMUNICATIE ARTIKEL DEADLINE</t>
  </si>
  <si>
    <t>LES VOORBERIDEN MORGEN GEVEN LOTTIE FILES</t>
  </si>
  <si>
    <t>9 en 16 boekmaking inleveren aan het onthaal doos voor boekjes, naam op elk van de boekjes en groep! naam aftekenen op aftekenlijst</t>
  </si>
  <si>
    <t>marketing taken maken</t>
  </si>
  <si>
    <t>bookmaking maken</t>
  </si>
  <si>
    <t>werken digitaal</t>
  </si>
  <si>
    <t>digitaal werken</t>
  </si>
  <si>
    <t>digitaal, marketing, bookmaking</t>
  </si>
  <si>
    <t xml:space="preserve">25 februari vrij? Tim burton - 19u - zondag concert </t>
  </si>
  <si>
    <t>JURY DIGITAAL</t>
  </si>
  <si>
    <t xml:space="preserve">Wio, Thomas, Kilian, Dennis Hellebaut, Sarah Mayer </t>
  </si>
  <si>
    <t>Beste studenten,
De feestdagen staan voor de deur! We willen jullie alvast bedanken voor een boeiend en energiek eerste semester.
Zoals jullie weten, ronden we dit semester af met een jury. Hieronder vinden jullie alle praktische informatie.
Jury
Datum: dinsdag 20 januari
Uur: van 9u tot 18u
(De definitieve planning per student komt één week vooraf online.)
Interne juryleden:
Wio, Thomas &amp; Kilian
Externe juryleden:
    Dennis Hellebaut – Senior Designer bij Planet B
    Sarah Mayer – Immersive Artist
Presentatie
Jullie worden beoordeeld op de drie opdrachten van het eerste semester, aangevuld met de rushes (bundel de rushes in max 4 slides en licht kort toe). Zorg voor een duidelijke, logisch opgebouwde presentatie met voldoende context, beeldmateriaal en behind the scenes, zodat elk project helder en coherent wordt voorgesteld.
De presentaties verlopen per groep van de ‘klok’-opdracht.
Eerst presenteren jullie deze gezamenlijke opdracht samen, daarna komt elk groepslid individueel aan bod.
Proefjury
Op vrijdag 16 januari organiseren we een verplichte proefjury.
Je presenteert hier alsof het de effectieve jury is. De feedback focust uitsluitend op je presentatiewijze (niet op het werk zelf) en kan je meenemen naar de finale jurypresentatie.
Planning
    05/01: Feedback
    09/01: Feedback
    12/01: Feedback
    16/01: Proefjury
    19/01: Feedback (vrijblijvend, enkel voormiddag)
    20/01: Jury
Geniet van de feestdagen en tot in januari!
Wio, Thomas &amp; Kilian</t>
  </si>
  <si>
    <t>05/01: Feedback</t>
  </si>
  <si>
    <t>09/01: Feedback</t>
  </si>
  <si>
    <t>12/01: Feedback</t>
  </si>
  <si>
    <t>16/01: Proefjury</t>
  </si>
  <si>
    <t>19/01: Feedback (vrijblijvend, enkel voormiddag)</t>
  </si>
  <si>
    <t>Op vrijdag 16 januari organiseren we een verplichte proefjury.</t>
  </si>
  <si>
    <t>Je presenteert hier alsof het de effectieve jury is. De feedback focust uitsluitend op je presentatiewijze (niet op het werk zelf) en kan je meenemen naar de finale jurypresentatie.</t>
  </si>
  <si>
    <t>VROEM VROEM VANAF 13.30 OP AGENDA ZETTEN</t>
  </si>
  <si>
    <t>Vroem vroem animatie</t>
  </si>
  <si>
    <t>C&amp;O TAKEN MAKEN</t>
  </si>
  <si>
    <t>BOOKMAKING MAKEN</t>
  </si>
  <si>
    <t>MAANDAG VROEMVROEM OF DINSDAG</t>
  </si>
  <si>
    <t>Hln x andere site structuur,.parody hln vormgeving (hvln voorlaastste nkeuwd)
Videos via url en niet url uploaden
Afbeeldingen, geluid
Cms ontwerpen maken en websitz zelf
Heel snel veel nieuwe congent en archief
Statistieken bezoekers, eenvoudige statsitieken, views op videos en vanwaar mensen bezoeken
Volgendeweek bekijken
Maandagnamiddag probeten hier volgende week en anders dinsdag voormiddag
Ander porject:
Straatkunst project
Belgacom toren die begroeit en mooi wordt testen
Bamboo 3d printer goed?</t>
  </si>
  <si>
    <t>DIGITAAL WERKEN</t>
  </si>
  <si>
    <t>WERKEN VROEMVROEM DINGEN</t>
  </si>
  <si>
    <t>BIJ JAN VROEM VROEM</t>
  </si>
  <si>
    <t>hier voormiddag
10U</t>
  </si>
  <si>
    <t>guy van adya in gent zien</t>
  </si>
  <si>
    <t>in week gy van adya</t>
  </si>
  <si>
    <t>30ste vrijdag mss naar theo jury</t>
  </si>
  <si>
    <t>terugkomdag 1</t>
  </si>
  <si>
    <t>terugkomdag 2</t>
  </si>
  <si>
    <t>indienen startverslag
15-02</t>
  </si>
  <si>
    <t>indienen "eindverslag &amp; kritische reflectie"
11-05</t>
  </si>
  <si>
    <t>week van bachelorproef</t>
  </si>
  <si>
    <t>1 week voor deadline bachelorproef</t>
  </si>
  <si>
    <t>2 weken voor deadline bachelorproef</t>
  </si>
  <si>
    <t>3 weken voor deadline bachelorproef</t>
  </si>
  <si>
    <t>4 weken voor deadline bachelorproef</t>
  </si>
  <si>
    <t>5 weken voor deadline bachelorproef</t>
  </si>
  <si>
    <t>6 weken voor deadline bachelorproef</t>
  </si>
  <si>
    <t>7 weken voor deadline bachelorproef</t>
  </si>
  <si>
    <t>8 weken voor deadline bachelorproef</t>
  </si>
  <si>
    <t>9 weken voor deadline bachelorproef</t>
  </si>
  <si>
    <t>10 weken voor deadline bachelorproef</t>
  </si>
  <si>
    <t>11 weken voor deadline bachelorproef</t>
  </si>
  <si>
    <t>12 weken voor deadline bachelorproef</t>
  </si>
  <si>
    <t>13 weken voor deadline bachelorproef</t>
  </si>
  <si>
    <t>14 weken voor deadline bachelorproef</t>
  </si>
  <si>
    <t>15 weken voor deadline bachelorproef</t>
  </si>
  <si>
    <t>16 weken voor deadline bachelorproef</t>
  </si>
  <si>
    <t>17 weken voor deadline bachelorproef</t>
  </si>
  <si>
    <t>18 weken voor deadline bachelorproef</t>
  </si>
  <si>
    <t>1 week voor einde stage</t>
  </si>
  <si>
    <t>2 weken voor einde stage</t>
  </si>
  <si>
    <t>3 weken voor einde stage</t>
  </si>
  <si>
    <t>4 weken voor einde stage</t>
  </si>
  <si>
    <t>5 weken voor einde stage</t>
  </si>
  <si>
    <t>6 weken voor einde stage</t>
  </si>
  <si>
    <t>7 weken voor einde stage</t>
  </si>
  <si>
    <t>8 weken voor einde stage</t>
  </si>
  <si>
    <t>9 weken voor einde stage</t>
  </si>
  <si>
    <t>10 weken voor einde stage</t>
  </si>
  <si>
    <t>DEADLINE BARCELONA OPDRACHT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</si>
</sst>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m/yyyy;@"/>
  </numFmts>
  <fonts count="10" x14ac:knownFonts="1">
    <font>
      <sz val="11"/>
      <color theme="1"/>
      <name val="Aptos Narrow"/>
      <family val="2"/>
      <scheme val="minor"/>
    </font>
    <font>
      <sz val="11"/>
      <color theme="1"/>
      <name val="Aptos Narrow"/>
      <family val="2"/>
      <scheme val="minor"/>
    </font>
    <font>
      <sz val="11"/>
      <color rgb="FF9C5700"/>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15"/>
      <color theme="1"/>
      <name val="Aptos Narrow"/>
      <family val="2"/>
      <scheme val="minor"/>
    </font>
    <font>
      <b/>
      <sz val="11"/>
      <color rgb="FF9C5700"/>
      <name val="Aptos Narrow"/>
      <family val="2"/>
      <scheme val="minor"/>
    </font>
    <font>
      <sz val="8"/>
      <name val="Aptos Narrow"/>
      <family val="2"/>
      <scheme val="minor"/>
    </font>
  </fonts>
  <fills count="15">
    <fill>
      <patternFill patternType="none"/>
    </fill>
    <fill>
      <patternFill patternType="gray125"/>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6" tint="0.59999389629810485"/>
        <bgColor indexed="65"/>
      </patternFill>
    </fill>
    <fill>
      <patternFill patternType="solid">
        <fgColor theme="8" tint="0.79998168889431442"/>
        <bgColor indexed="65"/>
      </patternFill>
    </fill>
    <fill>
      <patternFill patternType="solid">
        <fgColor theme="0" tint="-0.249977111117893"/>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FFC000"/>
        <bgColor indexed="64"/>
      </patternFill>
    </fill>
    <fill>
      <patternFill patternType="solid">
        <fgColor theme="4" tint="0.59999389629810485"/>
        <bgColor indexed="64"/>
      </patternFill>
    </fill>
    <fill>
      <patternFill patternType="solid">
        <fgColor theme="8" tint="0.59999389629810485"/>
        <bgColor indexed="64"/>
      </patternFill>
    </fill>
  </fills>
  <borders count="1">
    <border>
      <left/>
      <right/>
      <top/>
      <bottom/>
      <diagonal/>
    </border>
  </borders>
  <cellStyleXfs count="7">
    <xf numFmtId="0" fontId="0" fillId="0" borderId="0"/>
    <xf numFmtId="0" fontId="2" fillId="2" borderId="0" applyNumberFormat="0" applyBorder="0" applyAlignment="0" applyProtection="0"/>
    <xf numFmtId="0" fontId="5"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53">
    <xf numFmtId="0" fontId="0" fillId="0" borderId="0" xfId="0"/>
    <xf numFmtId="0" fontId="4" fillId="0" borderId="0" xfId="0" applyFont="1"/>
    <xf numFmtId="0" fontId="6" fillId="0" borderId="0" xfId="0" applyFont="1"/>
    <xf numFmtId="0" fontId="1" fillId="5" borderId="0" xfId="4"/>
    <xf numFmtId="0" fontId="1" fillId="5" borderId="0" xfId="4" applyAlignment="1">
      <alignment horizontal="left"/>
    </xf>
    <xf numFmtId="0" fontId="4" fillId="5" borderId="0" xfId="4" applyFont="1"/>
    <xf numFmtId="0" fontId="0" fillId="5" borderId="0" xfId="4" applyFont="1" applyAlignment="1">
      <alignment horizontal="left"/>
    </xf>
    <xf numFmtId="0" fontId="1" fillId="6" borderId="0" xfId="5"/>
    <xf numFmtId="0" fontId="1" fillId="6" borderId="0" xfId="5" applyAlignment="1">
      <alignment horizontal="left"/>
    </xf>
    <xf numFmtId="0" fontId="4" fillId="6" borderId="0" xfId="5" applyFont="1"/>
    <xf numFmtId="0" fontId="5" fillId="3" borderId="0" xfId="2"/>
    <xf numFmtId="0" fontId="3" fillId="3" borderId="0" xfId="2" applyFont="1"/>
    <xf numFmtId="0" fontId="5" fillId="3" borderId="0" xfId="2" applyAlignment="1">
      <alignment horizontal="left"/>
    </xf>
    <xf numFmtId="0" fontId="7" fillId="8" borderId="0" xfId="0" applyFont="1" applyFill="1"/>
    <xf numFmtId="0" fontId="0" fillId="9" borderId="0" xfId="0" applyFill="1"/>
    <xf numFmtId="0" fontId="4" fillId="10" borderId="0" xfId="0" applyFont="1" applyFill="1"/>
    <xf numFmtId="20" fontId="4" fillId="10" borderId="0" xfId="0" applyNumberFormat="1" applyFont="1" applyFill="1"/>
    <xf numFmtId="0" fontId="7" fillId="10" borderId="0" xfId="0" applyFont="1" applyFill="1"/>
    <xf numFmtId="0" fontId="1" fillId="10" borderId="0" xfId="3" applyFill="1"/>
    <xf numFmtId="0" fontId="4" fillId="10" borderId="0" xfId="3" applyFont="1" applyFill="1"/>
    <xf numFmtId="0" fontId="0" fillId="10" borderId="0" xfId="0" applyFill="1"/>
    <xf numFmtId="0" fontId="6" fillId="10" borderId="0" xfId="0" applyFont="1" applyFill="1"/>
    <xf numFmtId="0" fontId="6" fillId="10" borderId="0" xfId="0" applyFont="1" applyFill="1" applyAlignment="1">
      <alignment horizontal="left"/>
    </xf>
    <xf numFmtId="9" fontId="0" fillId="10" borderId="0" xfId="0" applyNumberFormat="1" applyFill="1" applyAlignment="1">
      <alignment horizontal="left"/>
    </xf>
    <xf numFmtId="164" fontId="0" fillId="10" borderId="0" xfId="0" applyNumberFormat="1" applyFill="1" applyAlignment="1">
      <alignment horizontal="left"/>
    </xf>
    <xf numFmtId="14" fontId="0" fillId="0" borderId="0" xfId="0" applyNumberFormat="1"/>
    <xf numFmtId="165" fontId="0" fillId="10" borderId="0" xfId="0" applyNumberFormat="1" applyFill="1" applyAlignment="1">
      <alignment horizontal="left"/>
    </xf>
    <xf numFmtId="165" fontId="0" fillId="8" borderId="0" xfId="0" applyNumberFormat="1" applyFill="1" applyAlignment="1">
      <alignment horizontal="left"/>
    </xf>
    <xf numFmtId="0" fontId="4" fillId="11" borderId="0" xfId="0" applyFont="1" applyFill="1"/>
    <xf numFmtId="0" fontId="0" fillId="11" borderId="0" xfId="0" applyFill="1"/>
    <xf numFmtId="165" fontId="1" fillId="10" borderId="0" xfId="3" applyNumberFormat="1" applyFill="1" applyAlignment="1">
      <alignment horizontal="left"/>
    </xf>
    <xf numFmtId="0" fontId="1" fillId="7" borderId="0" xfId="6"/>
    <xf numFmtId="0" fontId="4" fillId="7" borderId="0" xfId="6" applyFont="1"/>
    <xf numFmtId="0" fontId="1" fillId="10" borderId="0" xfId="3" applyFill="1" applyAlignment="1">
      <alignment horizontal="left" vertical="top" wrapText="1"/>
    </xf>
    <xf numFmtId="0" fontId="2" fillId="2" borderId="0" xfId="1"/>
    <xf numFmtId="0" fontId="8" fillId="2" borderId="0" xfId="1" applyFont="1"/>
    <xf numFmtId="0" fontId="8" fillId="12" borderId="0" xfId="1" applyFont="1" applyFill="1"/>
    <xf numFmtId="0" fontId="2" fillId="12" borderId="0" xfId="1" applyFill="1"/>
    <xf numFmtId="0" fontId="0" fillId="11" borderId="0" xfId="0" applyFill="1" applyAlignment="1">
      <alignment horizontal="left"/>
    </xf>
    <xf numFmtId="0" fontId="0" fillId="10" borderId="0" xfId="3" applyFont="1" applyFill="1" applyAlignment="1">
      <alignment horizontal="left" vertical="top" wrapText="1"/>
    </xf>
    <xf numFmtId="0" fontId="0" fillId="5" borderId="0" xfId="4" applyFont="1"/>
    <xf numFmtId="0" fontId="2" fillId="12" borderId="0" xfId="1" applyFill="1" applyAlignment="1">
      <alignment horizontal="left"/>
    </xf>
    <xf numFmtId="0" fontId="4" fillId="9" borderId="0" xfId="0" applyFont="1" applyFill="1"/>
    <xf numFmtId="0" fontId="4" fillId="10" borderId="0" xfId="3" applyFont="1" applyFill="1" applyAlignment="1">
      <alignment horizontal="left" vertical="top" wrapText="1"/>
    </xf>
    <xf numFmtId="0" fontId="4" fillId="13" borderId="0" xfId="0" applyFont="1" applyFill="1"/>
    <xf numFmtId="0" fontId="0" fillId="13" borderId="0" xfId="0" applyFill="1"/>
    <xf numFmtId="0" fontId="0" fillId="13" borderId="0" xfId="0" applyFill="1" applyAlignment="1">
      <alignment horizontal="left"/>
    </xf>
    <xf numFmtId="0" fontId="0" fillId="14" borderId="0" xfId="0" applyFill="1"/>
    <xf numFmtId="0" fontId="4" fillId="14" borderId="0" xfId="0" applyFont="1" applyFill="1"/>
    <xf numFmtId="0" fontId="0" fillId="6" borderId="0" xfId="5" applyFont="1"/>
    <xf numFmtId="0" fontId="0" fillId="5" borderId="0" xfId="4" applyFont="1" applyAlignment="1">
      <alignment wrapText="1"/>
    </xf>
    <xf numFmtId="20" fontId="2" fillId="12" borderId="0" xfId="1" applyNumberFormat="1" applyFill="1"/>
    <xf numFmtId="0" fontId="2" fillId="12" borderId="0" xfId="1" applyFill="1" applyAlignment="1">
      <alignment wrapText="1"/>
    </xf>
  </cellXfs>
  <cellStyles count="7">
    <cellStyle name="20% - Accent1" xfId="3" builtinId="30"/>
    <cellStyle name="20% - Accent5" xfId="6" builtinId="46"/>
    <cellStyle name="40% - Accent1" xfId="4" builtinId="31"/>
    <cellStyle name="40% - Accent3" xfId="5" builtinId="39"/>
    <cellStyle name="Accent1" xfId="2" builtinId="29"/>
    <cellStyle name="Neutral" xfId="1" builtinId="28"/>
    <cellStyle name="Normal" xfId="0" builtinId="0"/>
  </cellStyles>
  <dxfs count="41">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
      <font>
        <b/>
        <i val="0"/>
        <u/>
        <color theme="1"/>
      </font>
      <fill>
        <patternFill patternType="solid">
          <bgColor theme="3" tint="0.899929807428205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A742E-D028-4DEA-B292-287A1772CFA0}">
  <dimension ref="B2:R48"/>
  <sheetViews>
    <sheetView zoomScale="70" zoomScaleNormal="70" workbookViewId="0">
      <selection activeCell="D18" sqref="D18:D20"/>
    </sheetView>
  </sheetViews>
  <sheetFormatPr defaultRowHeight="15" x14ac:dyDescent="0.25"/>
  <cols>
    <col min="2" max="2" width="30.7109375" customWidth="1"/>
    <col min="4" max="4" width="30.7109375" customWidth="1"/>
    <col min="6" max="6" width="30.7109375" customWidth="1"/>
    <col min="7" max="7" width="9.140625" customWidth="1"/>
    <col min="8" max="8" width="10.7109375" customWidth="1"/>
    <col min="9" max="15" width="30.7109375" customWidth="1"/>
    <col min="17" max="17" width="30.7109375" customWidth="1"/>
    <col min="18" max="18" width="12.42578125" bestFit="1" customWidth="1"/>
  </cols>
  <sheetData>
    <row r="2" spans="2:18" ht="26.25" x14ac:dyDescent="0.4">
      <c r="B2" s="2" t="s">
        <v>0</v>
      </c>
      <c r="H2" s="2" t="s">
        <v>13</v>
      </c>
      <c r="Q2" s="2" t="s">
        <v>23</v>
      </c>
    </row>
    <row r="3" spans="2:18" x14ac:dyDescent="0.25">
      <c r="Q3" s="1" t="s">
        <v>27</v>
      </c>
      <c r="R3">
        <v>40</v>
      </c>
    </row>
    <row r="4" spans="2:18" x14ac:dyDescent="0.25">
      <c r="B4" s="5" t="s">
        <v>11</v>
      </c>
      <c r="D4" s="11" t="s">
        <v>12</v>
      </c>
      <c r="F4" s="9" t="s">
        <v>4</v>
      </c>
      <c r="H4" s="20"/>
      <c r="I4" s="23"/>
      <c r="J4" s="20"/>
      <c r="K4" s="20"/>
      <c r="L4" s="20"/>
      <c r="M4" s="20"/>
      <c r="N4" s="20"/>
      <c r="O4" s="20"/>
      <c r="Q4" s="1" t="s">
        <v>24</v>
      </c>
      <c r="R4" s="25">
        <v>45922</v>
      </c>
    </row>
    <row r="5" spans="2:18" ht="26.25" x14ac:dyDescent="0.4">
      <c r="H5" s="21" t="s">
        <v>22</v>
      </c>
      <c r="I5" s="22">
        <v>0</v>
      </c>
      <c r="J5" s="24">
        <f>I5/Index!R3</f>
        <v>0</v>
      </c>
      <c r="K5" s="20"/>
      <c r="L5" s="20"/>
      <c r="M5" s="20"/>
      <c r="N5" s="20"/>
      <c r="O5" s="20"/>
    </row>
    <row r="6" spans="2:18" ht="19.5" x14ac:dyDescent="0.3">
      <c r="B6" s="5" t="s">
        <v>6</v>
      </c>
      <c r="D6" s="5" t="s">
        <v>8</v>
      </c>
      <c r="F6" s="11" t="s">
        <v>2</v>
      </c>
      <c r="H6" s="15"/>
      <c r="I6" s="17" t="s">
        <v>14</v>
      </c>
      <c r="J6" s="17" t="s">
        <v>15</v>
      </c>
      <c r="K6" s="17" t="s">
        <v>16</v>
      </c>
      <c r="L6" s="17" t="s">
        <v>17</v>
      </c>
      <c r="M6" s="17" t="s">
        <v>18</v>
      </c>
      <c r="N6" s="13" t="s">
        <v>19</v>
      </c>
      <c r="O6" s="13" t="s">
        <v>20</v>
      </c>
    </row>
    <row r="7" spans="2:18" x14ac:dyDescent="0.25">
      <c r="B7" s="4">
        <v>204</v>
      </c>
      <c r="D7" s="6" t="s">
        <v>1</v>
      </c>
      <c r="F7" s="12">
        <v>115</v>
      </c>
      <c r="H7" s="15"/>
      <c r="I7" s="26">
        <f>Index!R4+(7*(I5-1))</f>
        <v>45915</v>
      </c>
      <c r="J7" s="26">
        <f>I7+1</f>
        <v>45916</v>
      </c>
      <c r="K7" s="26">
        <f t="shared" ref="K7:O7" si="0">J7+1</f>
        <v>45917</v>
      </c>
      <c r="L7" s="26">
        <f t="shared" si="0"/>
        <v>45918</v>
      </c>
      <c r="M7" s="26">
        <f t="shared" si="0"/>
        <v>45919</v>
      </c>
      <c r="N7" s="27">
        <f t="shared" si="0"/>
        <v>45920</v>
      </c>
      <c r="O7" s="27">
        <f t="shared" si="0"/>
        <v>45921</v>
      </c>
    </row>
    <row r="8" spans="2:18" x14ac:dyDescent="0.25">
      <c r="B8" s="3"/>
      <c r="D8" s="3"/>
      <c r="F8" s="10"/>
      <c r="H8" s="16">
        <v>0.33333333333333331</v>
      </c>
      <c r="N8" s="14"/>
      <c r="O8" s="14"/>
    </row>
    <row r="9" spans="2:18" x14ac:dyDescent="0.25">
      <c r="H9" s="15"/>
      <c r="N9" s="14"/>
      <c r="O9" s="14"/>
    </row>
    <row r="10" spans="2:18" x14ac:dyDescent="0.25">
      <c r="B10" s="9" t="s">
        <v>3</v>
      </c>
      <c r="D10" s="11" t="s">
        <v>5</v>
      </c>
      <c r="F10" s="5" t="s">
        <v>7</v>
      </c>
      <c r="H10" s="16">
        <v>0.375</v>
      </c>
      <c r="I10" s="5" t="s">
        <v>6</v>
      </c>
      <c r="J10" s="28" t="s">
        <v>25</v>
      </c>
      <c r="M10" s="5" t="s">
        <v>6</v>
      </c>
      <c r="N10" s="14"/>
      <c r="O10" s="14"/>
    </row>
    <row r="11" spans="2:18" x14ac:dyDescent="0.25">
      <c r="B11" s="8" t="s">
        <v>4</v>
      </c>
      <c r="D11" s="12">
        <v>115</v>
      </c>
      <c r="F11" s="4">
        <v>309</v>
      </c>
      <c r="H11" s="15"/>
      <c r="I11" s="4">
        <v>204</v>
      </c>
      <c r="J11" s="29" t="s">
        <v>1</v>
      </c>
      <c r="M11" s="4">
        <v>204</v>
      </c>
      <c r="N11" s="14"/>
      <c r="O11" s="14"/>
    </row>
    <row r="12" spans="2:18" x14ac:dyDescent="0.25">
      <c r="B12" s="7"/>
      <c r="D12" s="10"/>
      <c r="F12" s="3"/>
      <c r="H12" s="16">
        <v>0.41666666666666669</v>
      </c>
      <c r="I12" s="3"/>
      <c r="J12" s="29"/>
      <c r="M12" s="3"/>
      <c r="N12" s="14"/>
      <c r="O12" s="14"/>
    </row>
    <row r="13" spans="2:18" x14ac:dyDescent="0.25">
      <c r="H13" s="15"/>
      <c r="I13" s="3"/>
      <c r="J13" s="29"/>
      <c r="M13" s="3"/>
      <c r="N13" s="14"/>
      <c r="O13" s="14"/>
    </row>
    <row r="14" spans="2:18" x14ac:dyDescent="0.25">
      <c r="B14" s="5" t="s">
        <v>9</v>
      </c>
      <c r="D14" s="28" t="s">
        <v>1</v>
      </c>
      <c r="F14" s="32" t="s">
        <v>28</v>
      </c>
      <c r="H14" s="16">
        <v>0.45833333333333331</v>
      </c>
      <c r="I14" s="3"/>
      <c r="J14" s="29"/>
      <c r="K14" s="11" t="s">
        <v>5</v>
      </c>
      <c r="M14" s="3"/>
      <c r="N14" s="14"/>
      <c r="O14" s="14"/>
    </row>
    <row r="15" spans="2:18" x14ac:dyDescent="0.25">
      <c r="B15" s="6" t="s">
        <v>10</v>
      </c>
      <c r="D15" s="29" t="s">
        <v>1</v>
      </c>
      <c r="F15" s="31"/>
      <c r="H15" s="15"/>
      <c r="I15" s="3"/>
      <c r="J15" s="29"/>
      <c r="K15" s="12">
        <v>115</v>
      </c>
      <c r="M15" s="3"/>
      <c r="N15" s="14"/>
      <c r="O15" s="14"/>
    </row>
    <row r="16" spans="2:18" x14ac:dyDescent="0.25">
      <c r="B16" s="3"/>
      <c r="D16" s="29"/>
      <c r="F16" s="31"/>
      <c r="H16" s="16">
        <v>0.5</v>
      </c>
      <c r="I16" s="3"/>
      <c r="J16" s="29"/>
      <c r="K16" s="10"/>
      <c r="M16" s="3"/>
      <c r="N16" s="14"/>
      <c r="O16" s="14"/>
    </row>
    <row r="17" spans="2:15" x14ac:dyDescent="0.25">
      <c r="H17" s="15"/>
      <c r="I17" s="3"/>
      <c r="J17" s="29"/>
      <c r="K17" s="10"/>
      <c r="M17" s="3"/>
      <c r="N17" s="14"/>
      <c r="O17" s="14"/>
    </row>
    <row r="18" spans="2:15" x14ac:dyDescent="0.25">
      <c r="B18" s="35" t="s">
        <v>35</v>
      </c>
      <c r="D18" s="36" t="s">
        <v>36</v>
      </c>
      <c r="H18" s="16">
        <v>0.54166666666666663</v>
      </c>
      <c r="N18" s="14"/>
      <c r="O18" s="14"/>
    </row>
    <row r="19" spans="2:15" x14ac:dyDescent="0.25">
      <c r="B19" s="34" t="s">
        <v>1</v>
      </c>
      <c r="D19" s="37" t="s">
        <v>1</v>
      </c>
      <c r="H19" s="15"/>
      <c r="N19" s="14"/>
      <c r="O19" s="14"/>
    </row>
    <row r="20" spans="2:15" x14ac:dyDescent="0.25">
      <c r="B20" s="34"/>
      <c r="D20" s="37"/>
      <c r="H20" s="16">
        <v>0.58333333333333337</v>
      </c>
      <c r="I20" s="5" t="s">
        <v>6</v>
      </c>
      <c r="J20" s="28" t="s">
        <v>26</v>
      </c>
      <c r="K20" s="5" t="s">
        <v>7</v>
      </c>
      <c r="N20" s="14"/>
      <c r="O20" s="14"/>
    </row>
    <row r="21" spans="2:15" x14ac:dyDescent="0.25">
      <c r="H21" s="15"/>
      <c r="I21" s="4">
        <v>204</v>
      </c>
      <c r="J21" s="29" t="s">
        <v>1</v>
      </c>
      <c r="K21" s="4">
        <v>309</v>
      </c>
      <c r="N21" s="14"/>
      <c r="O21" s="14"/>
    </row>
    <row r="22" spans="2:15" x14ac:dyDescent="0.25">
      <c r="H22" s="16">
        <v>0.625</v>
      </c>
      <c r="I22" s="3"/>
      <c r="J22" s="29"/>
      <c r="K22" s="3"/>
      <c r="N22" s="14"/>
      <c r="O22" s="14"/>
    </row>
    <row r="23" spans="2:15" x14ac:dyDescent="0.25">
      <c r="H23" s="15"/>
      <c r="I23" s="3"/>
      <c r="J23" s="29"/>
      <c r="K23" s="3"/>
      <c r="N23" s="14"/>
      <c r="O23" s="14"/>
    </row>
    <row r="24" spans="2:15" x14ac:dyDescent="0.25">
      <c r="H24" s="16">
        <v>0.66666666666666663</v>
      </c>
      <c r="I24" s="3"/>
      <c r="J24" s="29"/>
      <c r="K24" s="5" t="s">
        <v>9</v>
      </c>
      <c r="N24" s="14"/>
      <c r="O24" s="14"/>
    </row>
    <row r="25" spans="2:15" x14ac:dyDescent="0.25">
      <c r="H25" s="15"/>
      <c r="I25" s="3"/>
      <c r="J25" s="29"/>
      <c r="K25" s="6" t="s">
        <v>10</v>
      </c>
      <c r="N25" s="14"/>
      <c r="O25" s="14"/>
    </row>
    <row r="26" spans="2:15" x14ac:dyDescent="0.25">
      <c r="H26" s="16">
        <v>0.70833333333333337</v>
      </c>
      <c r="I26" s="3"/>
      <c r="J26" s="29"/>
      <c r="K26" s="3"/>
      <c r="N26" s="14"/>
      <c r="O26" s="14"/>
    </row>
    <row r="27" spans="2:15" x14ac:dyDescent="0.25">
      <c r="H27" s="15"/>
      <c r="I27" s="3"/>
      <c r="J27" s="29"/>
      <c r="K27" s="3"/>
      <c r="N27" s="14"/>
      <c r="O27" s="14"/>
    </row>
    <row r="28" spans="2:15" x14ac:dyDescent="0.25">
      <c r="H28" s="16">
        <v>0.75</v>
      </c>
      <c r="N28" s="14"/>
      <c r="O28" s="14"/>
    </row>
    <row r="29" spans="2:15" x14ac:dyDescent="0.25">
      <c r="H29" s="15"/>
      <c r="N29" s="14"/>
      <c r="O29" s="14"/>
    </row>
    <row r="31" spans="2:15" x14ac:dyDescent="0.25">
      <c r="H31" s="19" t="s">
        <v>21</v>
      </c>
      <c r="I31" s="30">
        <f>I7</f>
        <v>45915</v>
      </c>
      <c r="J31" s="30">
        <f t="shared" ref="J31:O31" si="1">J7</f>
        <v>45916</v>
      </c>
      <c r="K31" s="30">
        <f t="shared" si="1"/>
        <v>45917</v>
      </c>
      <c r="L31" s="30">
        <f t="shared" si="1"/>
        <v>45918</v>
      </c>
      <c r="M31" s="30">
        <f t="shared" si="1"/>
        <v>45919</v>
      </c>
      <c r="N31" s="30">
        <f t="shared" si="1"/>
        <v>45920</v>
      </c>
      <c r="O31" s="30">
        <f t="shared" si="1"/>
        <v>45921</v>
      </c>
    </row>
    <row r="32" spans="2:15" x14ac:dyDescent="0.25">
      <c r="H32" s="18"/>
      <c r="I32" s="18"/>
      <c r="J32" s="18"/>
      <c r="K32" s="18"/>
      <c r="L32" s="18"/>
      <c r="M32" s="18"/>
      <c r="N32" s="18"/>
      <c r="O32" s="18"/>
    </row>
    <row r="33" spans="8:15" x14ac:dyDescent="0.25">
      <c r="H33" s="18"/>
      <c r="I33" s="18"/>
      <c r="J33" s="18"/>
      <c r="K33" s="18"/>
      <c r="L33" s="18"/>
      <c r="M33" s="18"/>
      <c r="N33" s="18"/>
      <c r="O33" s="18"/>
    </row>
    <row r="34" spans="8:15" x14ac:dyDescent="0.25">
      <c r="H34" s="18"/>
      <c r="I34" s="18"/>
      <c r="J34" s="18"/>
      <c r="K34" s="18"/>
      <c r="L34" s="18"/>
      <c r="M34" s="18"/>
      <c r="N34" s="18"/>
      <c r="O34" s="18"/>
    </row>
    <row r="35" spans="8:15" x14ac:dyDescent="0.25">
      <c r="H35" s="18"/>
      <c r="I35" s="18"/>
      <c r="J35" s="18"/>
      <c r="K35" s="18"/>
      <c r="L35" s="18"/>
      <c r="M35" s="18"/>
      <c r="N35" s="18"/>
      <c r="O35" s="18"/>
    </row>
    <row r="36" spans="8:15" x14ac:dyDescent="0.25">
      <c r="H36" s="18"/>
      <c r="I36" s="18"/>
      <c r="J36" s="18"/>
      <c r="K36" s="18"/>
      <c r="L36" s="18"/>
      <c r="M36" s="18"/>
      <c r="N36" s="18"/>
      <c r="O36" s="18"/>
    </row>
    <row r="37" spans="8:15" x14ac:dyDescent="0.25">
      <c r="H37" s="18"/>
      <c r="I37" s="18"/>
      <c r="J37" s="18"/>
      <c r="K37" s="18"/>
      <c r="L37" s="18"/>
      <c r="M37" s="18"/>
      <c r="N37" s="18"/>
      <c r="O37" s="18"/>
    </row>
    <row r="38" spans="8:15" x14ac:dyDescent="0.25">
      <c r="H38" s="18"/>
      <c r="I38" s="18"/>
      <c r="J38" s="18"/>
      <c r="K38" s="18"/>
      <c r="L38" s="18"/>
      <c r="M38" s="18"/>
      <c r="N38" s="18"/>
      <c r="O38" s="18"/>
    </row>
    <row r="39" spans="8:15" x14ac:dyDescent="0.25">
      <c r="H39" s="18"/>
      <c r="I39" s="18"/>
      <c r="J39" s="18"/>
      <c r="K39" s="18"/>
      <c r="L39" s="18"/>
      <c r="M39" s="18"/>
      <c r="N39" s="18"/>
      <c r="O39" s="18"/>
    </row>
    <row r="40" spans="8:15" x14ac:dyDescent="0.25">
      <c r="H40" s="18"/>
      <c r="I40" s="18"/>
      <c r="J40" s="18"/>
      <c r="K40" s="18"/>
      <c r="L40" s="18"/>
      <c r="M40" s="18"/>
      <c r="N40" s="18"/>
      <c r="O40" s="18"/>
    </row>
    <row r="41" spans="8:15" x14ac:dyDescent="0.25">
      <c r="H41" s="18"/>
      <c r="I41" s="18"/>
      <c r="J41" s="18"/>
      <c r="K41" s="18"/>
      <c r="L41" s="18"/>
      <c r="M41" s="18"/>
      <c r="N41" s="18"/>
      <c r="O41" s="18"/>
    </row>
    <row r="42" spans="8:15" x14ac:dyDescent="0.25">
      <c r="H42" s="18"/>
      <c r="I42" s="18"/>
      <c r="J42" s="18"/>
      <c r="K42" s="18"/>
      <c r="L42" s="18"/>
      <c r="M42" s="18"/>
      <c r="N42" s="18"/>
      <c r="O42" s="18"/>
    </row>
    <row r="43" spans="8:15" x14ac:dyDescent="0.25">
      <c r="H43" s="18"/>
      <c r="I43" s="18"/>
      <c r="J43" s="18"/>
      <c r="K43" s="18"/>
      <c r="L43" s="18"/>
      <c r="M43" s="18"/>
      <c r="N43" s="18"/>
      <c r="O43" s="18"/>
    </row>
    <row r="44" spans="8:15" x14ac:dyDescent="0.25">
      <c r="H44" s="18"/>
      <c r="I44" s="18"/>
      <c r="J44" s="18"/>
      <c r="K44" s="18"/>
      <c r="L44" s="18"/>
      <c r="M44" s="18"/>
      <c r="N44" s="18"/>
      <c r="O44" s="18"/>
    </row>
    <row r="45" spans="8:15" x14ac:dyDescent="0.25">
      <c r="H45" s="18"/>
      <c r="I45" s="18"/>
      <c r="J45" s="18"/>
      <c r="K45" s="18"/>
      <c r="L45" s="18"/>
      <c r="M45" s="18"/>
      <c r="N45" s="18"/>
      <c r="O45" s="18"/>
    </row>
    <row r="46" spans="8:15" x14ac:dyDescent="0.25">
      <c r="H46" s="18"/>
      <c r="I46" s="18"/>
      <c r="J46" s="18"/>
      <c r="K46" s="18"/>
      <c r="L46" s="18"/>
      <c r="M46" s="18"/>
      <c r="N46" s="18"/>
      <c r="O46" s="18"/>
    </row>
    <row r="47" spans="8:15" x14ac:dyDescent="0.25">
      <c r="H47" s="18"/>
      <c r="I47" s="18"/>
      <c r="J47" s="18"/>
      <c r="K47" s="18"/>
      <c r="L47" s="18"/>
      <c r="M47" s="18"/>
      <c r="N47" s="18"/>
      <c r="O47" s="18"/>
    </row>
    <row r="48" spans="8:15" x14ac:dyDescent="0.25">
      <c r="H48" s="18"/>
      <c r="I48" s="18"/>
      <c r="J48" s="18"/>
      <c r="K48" s="18"/>
      <c r="L48" s="18"/>
      <c r="M48" s="18"/>
      <c r="N48" s="18"/>
      <c r="O48" s="18"/>
    </row>
  </sheetData>
  <conditionalFormatting sqref="I7:O7 I31:O31">
    <cfRule type="timePeriod" dxfId="40" priority="1" timePeriod="today">
      <formula>FLOOR(I7,1)=TODAY()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AF639-35B2-4815-B4D2-171BB2FF563A}">
  <dimension ref="B2:I46"/>
  <sheetViews>
    <sheetView zoomScale="70" zoomScaleNormal="70" workbookViewId="0">
      <selection activeCell="D18" sqref="D18:D2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v>
      </c>
      <c r="D3" s="24">
        <f>C3/Index!R3</f>
        <v>2.5000000000000001E-2</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45922</v>
      </c>
      <c r="D5" s="26">
        <f>C5+1</f>
        <v>45923</v>
      </c>
      <c r="E5" s="26">
        <f t="shared" ref="E5:I5" si="0">D5+1</f>
        <v>45924</v>
      </c>
      <c r="F5" s="26">
        <f t="shared" si="0"/>
        <v>45925</v>
      </c>
      <c r="G5" s="26">
        <f t="shared" si="0"/>
        <v>45926</v>
      </c>
      <c r="H5" s="27">
        <f t="shared" si="0"/>
        <v>45927</v>
      </c>
      <c r="I5" s="27">
        <f t="shared" si="0"/>
        <v>45928</v>
      </c>
    </row>
    <row r="6" spans="2:9" x14ac:dyDescent="0.25">
      <c r="B6" s="16">
        <v>0.33333333333333331</v>
      </c>
      <c r="H6" s="14"/>
      <c r="I6" s="14"/>
    </row>
    <row r="7" spans="2:9" x14ac:dyDescent="0.25">
      <c r="B7" s="15"/>
      <c r="H7" s="14"/>
      <c r="I7" s="14"/>
    </row>
    <row r="8" spans="2:9" x14ac:dyDescent="0.25">
      <c r="B8" s="16">
        <v>0.375</v>
      </c>
      <c r="C8" s="5" t="s">
        <v>6</v>
      </c>
      <c r="D8" s="44" t="s">
        <v>89</v>
      </c>
      <c r="G8" s="5" t="s">
        <v>6</v>
      </c>
      <c r="H8" s="14"/>
      <c r="I8" s="14"/>
    </row>
    <row r="9" spans="2:9" x14ac:dyDescent="0.25">
      <c r="B9" s="15"/>
      <c r="C9" s="4">
        <v>204</v>
      </c>
      <c r="D9" s="45" t="s">
        <v>90</v>
      </c>
      <c r="G9" s="4">
        <v>204</v>
      </c>
      <c r="H9" s="14"/>
      <c r="I9" s="14"/>
    </row>
    <row r="10" spans="2:9" x14ac:dyDescent="0.25">
      <c r="B10" s="16">
        <v>0.41666666666666669</v>
      </c>
      <c r="C10" s="40" t="s">
        <v>42</v>
      </c>
      <c r="D10" s="45"/>
      <c r="G10" s="3"/>
      <c r="H10" s="14"/>
      <c r="I10" s="14"/>
    </row>
    <row r="11" spans="2:9" x14ac:dyDescent="0.25">
      <c r="B11" s="15"/>
      <c r="C11" s="40" t="s">
        <v>43</v>
      </c>
      <c r="D11" s="45"/>
      <c r="G11" s="3"/>
      <c r="H11" s="14"/>
      <c r="I11" s="14"/>
    </row>
    <row r="12" spans="2:9" x14ac:dyDescent="0.25">
      <c r="B12" s="16">
        <v>0.45833333333333331</v>
      </c>
      <c r="C12" s="40" t="s">
        <v>44</v>
      </c>
      <c r="E12" s="11" t="s">
        <v>5</v>
      </c>
      <c r="G12" s="3"/>
      <c r="H12" s="14"/>
      <c r="I12" s="14"/>
    </row>
    <row r="13" spans="2:9" x14ac:dyDescent="0.25">
      <c r="B13" s="15"/>
      <c r="C13" s="3"/>
      <c r="E13" s="12">
        <v>115</v>
      </c>
      <c r="G13" s="3"/>
      <c r="H13" s="14"/>
      <c r="I13" s="14"/>
    </row>
    <row r="14" spans="2:9" x14ac:dyDescent="0.25">
      <c r="B14" s="16">
        <v>0.5</v>
      </c>
      <c r="C14" s="3"/>
      <c r="E14" s="10"/>
      <c r="G14" s="3"/>
      <c r="H14" s="14"/>
      <c r="I14" s="14"/>
    </row>
    <row r="15" spans="2:9" x14ac:dyDescent="0.25">
      <c r="B15" s="15"/>
      <c r="C15" s="3"/>
      <c r="E15" s="10"/>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D18" s="28" t="s">
        <v>2</v>
      </c>
      <c r="G18" s="5" t="s">
        <v>6</v>
      </c>
      <c r="H18" s="14"/>
      <c r="I18" s="14"/>
    </row>
    <row r="19" spans="2:9" x14ac:dyDescent="0.25">
      <c r="B19" s="15"/>
      <c r="C19" s="4">
        <v>204</v>
      </c>
      <c r="D19" s="38" t="s">
        <v>93</v>
      </c>
      <c r="G19" s="4">
        <v>204</v>
      </c>
      <c r="H19" s="14"/>
      <c r="I19" s="14"/>
    </row>
    <row r="20" spans="2:9" x14ac:dyDescent="0.25">
      <c r="B20" s="16">
        <v>0.625</v>
      </c>
      <c r="C20" s="40" t="s">
        <v>44</v>
      </c>
      <c r="D20" s="29" t="s">
        <v>94</v>
      </c>
      <c r="G20" s="40" t="s">
        <v>45</v>
      </c>
      <c r="H20" s="14"/>
      <c r="I20" s="14"/>
    </row>
    <row r="21" spans="2:9" x14ac:dyDescent="0.25">
      <c r="B21" s="15"/>
      <c r="C21" s="3"/>
      <c r="D21" s="28" t="s">
        <v>3</v>
      </c>
      <c r="G21" s="3"/>
      <c r="H21" s="14"/>
      <c r="I21" s="14"/>
    </row>
    <row r="22" spans="2:9" x14ac:dyDescent="0.25">
      <c r="B22" s="16">
        <v>0.66666666666666663</v>
      </c>
      <c r="C22" s="3"/>
      <c r="D22" s="29" t="s">
        <v>4</v>
      </c>
      <c r="E22" s="5" t="s">
        <v>9</v>
      </c>
      <c r="F22" s="36" t="s">
        <v>34</v>
      </c>
      <c r="G22" s="3"/>
      <c r="H22" s="14"/>
      <c r="I22" s="14"/>
    </row>
    <row r="23" spans="2:9" x14ac:dyDescent="0.25">
      <c r="B23" s="15"/>
      <c r="C23" s="3"/>
      <c r="D23" s="29"/>
      <c r="E23" s="6" t="s">
        <v>10</v>
      </c>
      <c r="F23" s="37" t="s">
        <v>37</v>
      </c>
      <c r="G23" s="3"/>
      <c r="H23" s="14"/>
      <c r="I23" s="14"/>
    </row>
    <row r="24" spans="2:9" x14ac:dyDescent="0.25">
      <c r="B24" s="16">
        <v>0.70833333333333337</v>
      </c>
      <c r="C24" s="3"/>
      <c r="D24" s="29"/>
      <c r="E24" s="3"/>
      <c r="F24" s="37"/>
      <c r="G24" s="3"/>
      <c r="H24" s="14"/>
      <c r="I24" s="14"/>
    </row>
    <row r="25" spans="2:9" x14ac:dyDescent="0.25">
      <c r="B25" s="15"/>
      <c r="C25" s="3"/>
      <c r="D25" s="29"/>
      <c r="E25" s="3"/>
      <c r="F25" s="37"/>
      <c r="G25" s="3"/>
      <c r="H25" s="14"/>
      <c r="I25" s="14"/>
    </row>
    <row r="26" spans="2:9" x14ac:dyDescent="0.25">
      <c r="B26" s="16">
        <v>0.75</v>
      </c>
      <c r="H26" s="14"/>
      <c r="I26" s="14"/>
    </row>
    <row r="27" spans="2:9" x14ac:dyDescent="0.25">
      <c r="B27" s="15"/>
      <c r="H27" s="14"/>
      <c r="I27" s="14"/>
    </row>
    <row r="29" spans="2:9" x14ac:dyDescent="0.25">
      <c r="B29" s="19" t="s">
        <v>21</v>
      </c>
      <c r="C29" s="30">
        <f>C5</f>
        <v>45922</v>
      </c>
      <c r="D29" s="30">
        <f t="shared" ref="D29:I29" si="1">D5</f>
        <v>45923</v>
      </c>
      <c r="E29" s="30">
        <f t="shared" si="1"/>
        <v>45924</v>
      </c>
      <c r="F29" s="30">
        <f t="shared" si="1"/>
        <v>45925</v>
      </c>
      <c r="G29" s="30">
        <f t="shared" si="1"/>
        <v>45926</v>
      </c>
      <c r="H29" s="30">
        <f t="shared" si="1"/>
        <v>45927</v>
      </c>
      <c r="I29" s="30">
        <f t="shared" si="1"/>
        <v>45928</v>
      </c>
    </row>
    <row r="30" spans="2:9" ht="45" x14ac:dyDescent="0.25">
      <c r="B30" s="33"/>
      <c r="C30" s="43" t="s">
        <v>29</v>
      </c>
      <c r="D30" s="43" t="s">
        <v>91</v>
      </c>
      <c r="E30" s="43" t="s">
        <v>100</v>
      </c>
      <c r="F30" s="43" t="s">
        <v>105</v>
      </c>
      <c r="G30" s="33"/>
      <c r="H30" s="43" t="s">
        <v>106</v>
      </c>
      <c r="I30" s="33"/>
    </row>
    <row r="31" spans="2:9" ht="30" x14ac:dyDescent="0.25">
      <c r="B31" s="33"/>
      <c r="C31" s="43" t="s">
        <v>38</v>
      </c>
      <c r="D31" s="43" t="s">
        <v>101</v>
      </c>
      <c r="E31" s="43" t="s">
        <v>107</v>
      </c>
      <c r="F31" s="43" t="s">
        <v>40</v>
      </c>
      <c r="G31" s="33"/>
      <c r="H31" s="43" t="s">
        <v>109</v>
      </c>
      <c r="I31" s="33"/>
    </row>
    <row r="32" spans="2:9" ht="30" x14ac:dyDescent="0.25">
      <c r="B32" s="33"/>
      <c r="C32" s="43" t="s">
        <v>33</v>
      </c>
      <c r="D32" s="43" t="s">
        <v>102</v>
      </c>
      <c r="E32" s="33"/>
      <c r="F32" s="43" t="s">
        <v>88</v>
      </c>
      <c r="G32" s="33"/>
      <c r="H32" s="33"/>
      <c r="I32" s="33"/>
    </row>
    <row r="33" spans="2:9" ht="45" x14ac:dyDescent="0.25">
      <c r="B33" s="33"/>
      <c r="C33" s="43" t="s">
        <v>32</v>
      </c>
      <c r="D33" s="33"/>
      <c r="E33" s="33"/>
      <c r="F33" s="33"/>
      <c r="G33" s="33"/>
      <c r="H33" s="33"/>
      <c r="I33" s="33"/>
    </row>
    <row r="34" spans="2:9" ht="60" x14ac:dyDescent="0.25">
      <c r="B34" s="33"/>
      <c r="C34" s="43" t="s">
        <v>39</v>
      </c>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9" priority="1" timePeriod="today">
      <formula>FLOOR(C5,1)=TODAY()</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3DF7C-02D1-45A4-9108-89B78FBB6AD1}">
  <dimension ref="B2:I46"/>
  <sheetViews>
    <sheetView zoomScale="70" zoomScaleNormal="70" workbookViewId="0">
      <selection activeCell="H30" sqref="H30:H33"/>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v>
      </c>
      <c r="D3" s="24">
        <f>C3/Index!R3</f>
        <v>0.05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45929</v>
      </c>
      <c r="D5" s="26">
        <f>C5+1</f>
        <v>45930</v>
      </c>
      <c r="E5" s="26">
        <f t="shared" ref="E5:I5" si="0">D5+1</f>
        <v>45931</v>
      </c>
      <c r="F5" s="26">
        <f t="shared" si="0"/>
        <v>45932</v>
      </c>
      <c r="G5" s="26">
        <f t="shared" si="0"/>
        <v>45933</v>
      </c>
      <c r="H5" s="27">
        <f t="shared" si="0"/>
        <v>45934</v>
      </c>
      <c r="I5" s="27">
        <f t="shared" si="0"/>
        <v>45935</v>
      </c>
    </row>
    <row r="6" spans="2:9" x14ac:dyDescent="0.25">
      <c r="B6" s="16">
        <v>0.33333333333333331</v>
      </c>
      <c r="H6" s="14"/>
      <c r="I6" s="14"/>
    </row>
    <row r="7" spans="2:9" x14ac:dyDescent="0.25">
      <c r="B7" s="15"/>
      <c r="H7" s="14"/>
      <c r="I7" s="14"/>
    </row>
    <row r="8" spans="2:9" x14ac:dyDescent="0.25">
      <c r="B8" s="16">
        <v>0.375</v>
      </c>
      <c r="C8" s="5" t="s">
        <v>6</v>
      </c>
      <c r="D8" s="44" t="s">
        <v>89</v>
      </c>
      <c r="G8" s="5" t="s">
        <v>6</v>
      </c>
      <c r="H8" s="14"/>
      <c r="I8" s="14"/>
    </row>
    <row r="9" spans="2:9" x14ac:dyDescent="0.25">
      <c r="B9" s="15"/>
      <c r="C9" s="4">
        <v>204</v>
      </c>
      <c r="D9" s="45" t="s">
        <v>90</v>
      </c>
      <c r="G9" s="4">
        <v>204</v>
      </c>
      <c r="H9" s="14"/>
      <c r="I9" s="14"/>
    </row>
    <row r="10" spans="2:9" x14ac:dyDescent="0.25">
      <c r="B10" s="16">
        <v>0.41666666666666669</v>
      </c>
      <c r="C10" s="40" t="s">
        <v>46</v>
      </c>
      <c r="D10" s="45"/>
      <c r="G10" s="40" t="s">
        <v>45</v>
      </c>
      <c r="H10" s="14"/>
      <c r="I10" s="14"/>
    </row>
    <row r="11" spans="2:9" x14ac:dyDescent="0.25">
      <c r="B11" s="15"/>
      <c r="C11" s="40" t="s">
        <v>48</v>
      </c>
      <c r="D11" s="45"/>
      <c r="G11" s="40" t="s">
        <v>47</v>
      </c>
      <c r="H11" s="14"/>
      <c r="I11" s="14"/>
    </row>
    <row r="12" spans="2:9" x14ac:dyDescent="0.25">
      <c r="B12" s="16">
        <v>0.45833333333333331</v>
      </c>
      <c r="C12" s="3"/>
      <c r="E12" s="11" t="s">
        <v>5</v>
      </c>
      <c r="G12" s="3"/>
      <c r="H12" s="14"/>
      <c r="I12" s="14"/>
    </row>
    <row r="13" spans="2:9" x14ac:dyDescent="0.25">
      <c r="B13" s="15"/>
      <c r="C13" s="3"/>
      <c r="E13" s="12">
        <v>115</v>
      </c>
      <c r="G13" s="3"/>
      <c r="H13" s="14"/>
      <c r="I13" s="14"/>
    </row>
    <row r="14" spans="2:9" x14ac:dyDescent="0.25">
      <c r="B14" s="16">
        <v>0.5</v>
      </c>
      <c r="C14" s="3"/>
      <c r="E14" s="10"/>
      <c r="G14" s="3"/>
      <c r="H14" s="14"/>
      <c r="I14" s="14"/>
    </row>
    <row r="15" spans="2:9" x14ac:dyDescent="0.25">
      <c r="B15" s="15"/>
      <c r="C15" s="3"/>
      <c r="E15" s="10"/>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E18" s="5" t="s">
        <v>7</v>
      </c>
      <c r="F18" s="44" t="s">
        <v>92</v>
      </c>
      <c r="G18" s="5" t="s">
        <v>6</v>
      </c>
      <c r="H18" s="14"/>
      <c r="I18" s="14"/>
    </row>
    <row r="19" spans="2:9" x14ac:dyDescent="0.25">
      <c r="B19" s="15"/>
      <c r="C19" s="4">
        <v>204</v>
      </c>
      <c r="E19" s="4">
        <v>309</v>
      </c>
      <c r="F19" s="45" t="s">
        <v>90</v>
      </c>
      <c r="G19" s="4">
        <v>204</v>
      </c>
      <c r="H19" s="14"/>
      <c r="I19" s="14"/>
    </row>
    <row r="20" spans="2:9" x14ac:dyDescent="0.25">
      <c r="B20" s="16">
        <v>0.625</v>
      </c>
      <c r="C20" s="40" t="s">
        <v>44</v>
      </c>
      <c r="E20" s="3"/>
      <c r="F20" s="45"/>
      <c r="G20" s="3"/>
      <c r="H20" s="14"/>
      <c r="I20" s="14"/>
    </row>
    <row r="21" spans="2:9" x14ac:dyDescent="0.25">
      <c r="B21" s="15"/>
      <c r="C21" s="3"/>
      <c r="E21" s="3"/>
      <c r="F21" s="45"/>
      <c r="G21" s="3"/>
      <c r="H21" s="14"/>
      <c r="I21" s="14"/>
    </row>
    <row r="22" spans="2:9" x14ac:dyDescent="0.25">
      <c r="B22" s="16">
        <v>0.66666666666666663</v>
      </c>
      <c r="C22" s="3"/>
      <c r="E22" s="5" t="s">
        <v>9</v>
      </c>
      <c r="G22" s="3"/>
      <c r="H22" s="14"/>
      <c r="I22" s="14"/>
    </row>
    <row r="23" spans="2:9" x14ac:dyDescent="0.25">
      <c r="B23" s="15"/>
      <c r="C23" s="3"/>
      <c r="E23" s="6" t="s">
        <v>10</v>
      </c>
      <c r="G23" s="3"/>
      <c r="H23" s="14"/>
      <c r="I23" s="14"/>
    </row>
    <row r="24" spans="2:9" x14ac:dyDescent="0.25">
      <c r="B24" s="16">
        <v>0.70833333333333337</v>
      </c>
      <c r="C24" s="3"/>
      <c r="E24" s="3"/>
      <c r="G24" s="3"/>
      <c r="H24" s="14"/>
      <c r="I24" s="14"/>
    </row>
    <row r="25" spans="2:9" x14ac:dyDescent="0.25">
      <c r="B25" s="15"/>
      <c r="C25" s="3"/>
      <c r="E25" s="3"/>
      <c r="G25" s="3"/>
      <c r="H25" s="14"/>
      <c r="I25" s="14"/>
    </row>
    <row r="26" spans="2:9" x14ac:dyDescent="0.25">
      <c r="B26" s="16">
        <v>0.75</v>
      </c>
      <c r="H26" s="14"/>
      <c r="I26" s="14"/>
    </row>
    <row r="27" spans="2:9" x14ac:dyDescent="0.25">
      <c r="B27" s="15"/>
      <c r="H27" s="14"/>
      <c r="I27" s="14"/>
    </row>
    <row r="29" spans="2:9" x14ac:dyDescent="0.25">
      <c r="B29" s="19" t="s">
        <v>21</v>
      </c>
      <c r="C29" s="30">
        <f>C5</f>
        <v>45929</v>
      </c>
      <c r="D29" s="30">
        <f t="shared" ref="D29:I29" si="1">D5</f>
        <v>45930</v>
      </c>
      <c r="E29" s="30">
        <f t="shared" si="1"/>
        <v>45931</v>
      </c>
      <c r="F29" s="30">
        <f t="shared" si="1"/>
        <v>45932</v>
      </c>
      <c r="G29" s="30">
        <f t="shared" si="1"/>
        <v>45933</v>
      </c>
      <c r="H29" s="30">
        <f t="shared" si="1"/>
        <v>45934</v>
      </c>
      <c r="I29" s="30">
        <f t="shared" si="1"/>
        <v>45935</v>
      </c>
    </row>
    <row r="30" spans="2:9" x14ac:dyDescent="0.25">
      <c r="B30" s="33"/>
      <c r="C30" s="43" t="s">
        <v>108</v>
      </c>
      <c r="D30" s="43" t="s">
        <v>112</v>
      </c>
      <c r="E30" s="33"/>
      <c r="F30" s="43" t="s">
        <v>113</v>
      </c>
      <c r="G30" s="43" t="s">
        <v>108</v>
      </c>
      <c r="H30" s="33"/>
      <c r="I30" s="33"/>
    </row>
    <row r="31" spans="2:9" ht="60" x14ac:dyDescent="0.25">
      <c r="B31" s="33"/>
      <c r="C31" s="39"/>
      <c r="D31" s="43" t="s">
        <v>110</v>
      </c>
      <c r="E31" s="33"/>
      <c r="F31" s="33"/>
      <c r="G31" s="33"/>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8" priority="1" timePeriod="today">
      <formula>FLOOR(C5,1)=TODAY()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5558-1814-4160-B40F-68ED64E694D2}">
  <dimension ref="B2:I46"/>
  <sheetViews>
    <sheetView zoomScale="85" zoomScaleNormal="85" workbookViewId="0">
      <selection activeCell="C32" sqref="C32"/>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v>
      </c>
      <c r="D3" s="24">
        <f>C3/Index!R3</f>
        <v>7.4999999999999997E-2</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45936</v>
      </c>
      <c r="D5" s="26">
        <f>C5+1</f>
        <v>45937</v>
      </c>
      <c r="E5" s="26">
        <f t="shared" ref="E5:I5" si="0">D5+1</f>
        <v>45938</v>
      </c>
      <c r="F5" s="26">
        <f t="shared" si="0"/>
        <v>45939</v>
      </c>
      <c r="G5" s="26">
        <f t="shared" si="0"/>
        <v>45940</v>
      </c>
      <c r="H5" s="27">
        <f t="shared" si="0"/>
        <v>45941</v>
      </c>
      <c r="I5" s="27">
        <f t="shared" si="0"/>
        <v>45942</v>
      </c>
    </row>
    <row r="6" spans="2:9" x14ac:dyDescent="0.25">
      <c r="B6" s="16">
        <v>0.33333333333333331</v>
      </c>
      <c r="H6" s="14"/>
      <c r="I6" s="14"/>
    </row>
    <row r="7" spans="2:9" x14ac:dyDescent="0.25">
      <c r="B7" s="15"/>
      <c r="H7" s="14"/>
      <c r="I7" s="14"/>
    </row>
    <row r="8" spans="2:9" x14ac:dyDescent="0.25">
      <c r="B8" s="16">
        <v>0.375</v>
      </c>
      <c r="C8" s="5" t="s">
        <v>6</v>
      </c>
      <c r="D8" s="44" t="s">
        <v>89</v>
      </c>
      <c r="G8" s="5" t="s">
        <v>6</v>
      </c>
      <c r="H8" s="14"/>
      <c r="I8" s="14"/>
    </row>
    <row r="9" spans="2:9" x14ac:dyDescent="0.25">
      <c r="B9" s="15"/>
      <c r="C9" s="4">
        <v>204</v>
      </c>
      <c r="D9" s="45" t="s">
        <v>90</v>
      </c>
      <c r="G9" s="4">
        <v>204</v>
      </c>
      <c r="H9" s="14"/>
      <c r="I9" s="14"/>
    </row>
    <row r="10" spans="2:9" x14ac:dyDescent="0.25">
      <c r="B10" s="16">
        <v>0.41666666666666669</v>
      </c>
      <c r="C10" s="40" t="s">
        <v>46</v>
      </c>
      <c r="D10" s="45" t="s">
        <v>121</v>
      </c>
      <c r="G10" s="40" t="s">
        <v>45</v>
      </c>
      <c r="H10" s="14"/>
      <c r="I10" s="14"/>
    </row>
    <row r="11" spans="2:9" x14ac:dyDescent="0.25">
      <c r="B11" s="15"/>
      <c r="C11" s="40" t="s">
        <v>50</v>
      </c>
      <c r="D11" s="45"/>
      <c r="G11" s="40" t="s">
        <v>47</v>
      </c>
      <c r="H11" s="14"/>
      <c r="I11" s="14"/>
    </row>
    <row r="12" spans="2:9" x14ac:dyDescent="0.25">
      <c r="B12" s="16">
        <v>0.45833333333333331</v>
      </c>
      <c r="C12" s="3"/>
      <c r="E12" s="11" t="s">
        <v>5</v>
      </c>
      <c r="G12" s="3"/>
      <c r="H12" s="14"/>
      <c r="I12" s="14"/>
    </row>
    <row r="13" spans="2:9" x14ac:dyDescent="0.25">
      <c r="B13" s="15"/>
      <c r="C13" s="3"/>
      <c r="E13" s="12">
        <v>115</v>
      </c>
      <c r="G13" s="3"/>
      <c r="H13" s="14"/>
      <c r="I13" s="14"/>
    </row>
    <row r="14" spans="2:9" x14ac:dyDescent="0.25">
      <c r="B14" s="16">
        <v>0.5</v>
      </c>
      <c r="C14" s="3"/>
      <c r="E14" s="10"/>
      <c r="G14" s="3"/>
      <c r="H14" s="14"/>
      <c r="I14" s="14"/>
    </row>
    <row r="15" spans="2:9" x14ac:dyDescent="0.25">
      <c r="B15" s="15"/>
      <c r="C15" s="3"/>
      <c r="E15" s="10"/>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D18" s="44" t="s">
        <v>2</v>
      </c>
      <c r="F18" s="44" t="s">
        <v>92</v>
      </c>
      <c r="G18" s="5" t="s">
        <v>6</v>
      </c>
      <c r="H18" s="14"/>
      <c r="I18" s="14"/>
    </row>
    <row r="19" spans="2:9" x14ac:dyDescent="0.25">
      <c r="B19" s="15"/>
      <c r="C19" s="4">
        <v>204</v>
      </c>
      <c r="D19" s="46">
        <v>115</v>
      </c>
      <c r="F19" s="45" t="s">
        <v>90</v>
      </c>
      <c r="G19" s="4">
        <v>204</v>
      </c>
      <c r="H19" s="14"/>
      <c r="I19" s="14"/>
    </row>
    <row r="20" spans="2:9" x14ac:dyDescent="0.25">
      <c r="B20" s="16">
        <v>0.625</v>
      </c>
      <c r="C20" s="40" t="s">
        <v>44</v>
      </c>
      <c r="D20" s="45" t="s">
        <v>95</v>
      </c>
      <c r="F20" s="45"/>
      <c r="G20" s="3"/>
      <c r="H20" s="14"/>
      <c r="I20" s="14"/>
    </row>
    <row r="21" spans="2:9" x14ac:dyDescent="0.25">
      <c r="B21" s="15"/>
      <c r="C21" s="40" t="s">
        <v>49</v>
      </c>
      <c r="D21" s="44" t="s">
        <v>3</v>
      </c>
      <c r="F21" s="45"/>
      <c r="G21" s="3"/>
      <c r="H21" s="14"/>
      <c r="I21" s="14"/>
    </row>
    <row r="22" spans="2:9" x14ac:dyDescent="0.25">
      <c r="B22" s="16">
        <v>0.66666666666666663</v>
      </c>
      <c r="C22" s="3"/>
      <c r="D22" s="45" t="s">
        <v>4</v>
      </c>
      <c r="E22" s="5" t="s">
        <v>9</v>
      </c>
      <c r="G22" s="3"/>
      <c r="H22" s="14"/>
      <c r="I22" s="14"/>
    </row>
    <row r="23" spans="2:9" x14ac:dyDescent="0.25">
      <c r="B23" s="15"/>
      <c r="C23" s="3"/>
      <c r="D23" s="45" t="s">
        <v>121</v>
      </c>
      <c r="E23" s="6" t="s">
        <v>10</v>
      </c>
      <c r="G23" s="3"/>
      <c r="H23" s="14"/>
      <c r="I23" s="14"/>
    </row>
    <row r="24" spans="2:9" x14ac:dyDescent="0.25">
      <c r="B24" s="16">
        <v>0.70833333333333337</v>
      </c>
      <c r="C24" s="3"/>
      <c r="D24" s="45"/>
      <c r="E24" s="3"/>
      <c r="G24" s="3"/>
      <c r="H24" s="14"/>
      <c r="I24" s="14"/>
    </row>
    <row r="25" spans="2:9" x14ac:dyDescent="0.25">
      <c r="B25" s="15"/>
      <c r="C25" s="3"/>
      <c r="D25" s="45"/>
      <c r="E25" s="3"/>
      <c r="G25" s="3"/>
      <c r="H25" s="14"/>
      <c r="I25" s="14"/>
    </row>
    <row r="26" spans="2:9" x14ac:dyDescent="0.25">
      <c r="B26" s="16">
        <v>0.75</v>
      </c>
      <c r="H26" s="14"/>
      <c r="I26" s="14"/>
    </row>
    <row r="27" spans="2:9" x14ac:dyDescent="0.25">
      <c r="B27" s="15"/>
      <c r="H27" s="14"/>
      <c r="I27" s="14"/>
    </row>
    <row r="29" spans="2:9" x14ac:dyDescent="0.25">
      <c r="B29" s="19" t="s">
        <v>21</v>
      </c>
      <c r="C29" s="30">
        <f>C5</f>
        <v>45936</v>
      </c>
      <c r="D29" s="30">
        <f t="shared" ref="D29:I29" si="1">D5</f>
        <v>45937</v>
      </c>
      <c r="E29" s="30">
        <f t="shared" si="1"/>
        <v>45938</v>
      </c>
      <c r="F29" s="30">
        <f t="shared" si="1"/>
        <v>45939</v>
      </c>
      <c r="G29" s="30">
        <f t="shared" si="1"/>
        <v>45940</v>
      </c>
      <c r="H29" s="30">
        <f t="shared" si="1"/>
        <v>45941</v>
      </c>
      <c r="I29" s="30">
        <f t="shared" si="1"/>
        <v>45942</v>
      </c>
    </row>
    <row r="30" spans="2:9" x14ac:dyDescent="0.25">
      <c r="B30" s="33"/>
      <c r="C30" s="43" t="s">
        <v>116</v>
      </c>
      <c r="D30" s="33"/>
      <c r="E30" s="43" t="s">
        <v>112</v>
      </c>
      <c r="F30" s="43" t="s">
        <v>112</v>
      </c>
      <c r="G30" s="43" t="s">
        <v>115</v>
      </c>
      <c r="H30" s="39"/>
      <c r="I30" s="39" t="s">
        <v>112</v>
      </c>
    </row>
    <row r="31" spans="2:9" ht="30" x14ac:dyDescent="0.25">
      <c r="B31" s="33"/>
      <c r="C31" s="43" t="s">
        <v>111</v>
      </c>
      <c r="D31" s="33"/>
      <c r="E31" s="33"/>
      <c r="F31" s="33"/>
      <c r="G31" s="43" t="s">
        <v>125</v>
      </c>
      <c r="H31" s="33"/>
      <c r="I31" s="43" t="s">
        <v>126</v>
      </c>
    </row>
    <row r="32" spans="2:9" ht="30" x14ac:dyDescent="0.25">
      <c r="B32" s="33"/>
      <c r="C32" s="43" t="s">
        <v>99</v>
      </c>
      <c r="D32" s="33"/>
      <c r="E32" s="33"/>
      <c r="F32" s="33"/>
      <c r="G32" s="33"/>
      <c r="H32" s="33"/>
      <c r="I32" s="39" t="s">
        <v>117</v>
      </c>
    </row>
    <row r="33" spans="2:9" x14ac:dyDescent="0.25">
      <c r="B33" s="33"/>
      <c r="C33" s="43" t="s">
        <v>112</v>
      </c>
      <c r="D33" s="33"/>
      <c r="E33" s="33"/>
      <c r="F33" s="33"/>
      <c r="G33" s="33"/>
      <c r="H33" s="33"/>
      <c r="I33" s="33"/>
    </row>
    <row r="34" spans="2:9" x14ac:dyDescent="0.25">
      <c r="B34" s="33"/>
      <c r="C34" s="43" t="s">
        <v>114</v>
      </c>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7" priority="1" timePeriod="today">
      <formula>FLOOR(C5,1)=TODAY()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FA48-85D7-488A-903D-AC61719A0602}">
  <dimension ref="B2:I46"/>
  <sheetViews>
    <sheetView zoomScale="70" zoomScaleNormal="70" workbookViewId="0">
      <selection activeCell="H32" sqref="H32"/>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4</v>
      </c>
      <c r="D3" s="24">
        <f>C3/Index!R3</f>
        <v>0.1</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45943</v>
      </c>
      <c r="D5" s="26">
        <f>C5+1</f>
        <v>45944</v>
      </c>
      <c r="E5" s="26">
        <f t="shared" ref="E5:I5" si="0">D5+1</f>
        <v>45945</v>
      </c>
      <c r="F5" s="26">
        <f t="shared" si="0"/>
        <v>45946</v>
      </c>
      <c r="G5" s="26">
        <f t="shared" si="0"/>
        <v>45947</v>
      </c>
      <c r="H5" s="27">
        <f t="shared" si="0"/>
        <v>45948</v>
      </c>
      <c r="I5" s="27">
        <f t="shared" si="0"/>
        <v>45949</v>
      </c>
    </row>
    <row r="6" spans="2:9" x14ac:dyDescent="0.25">
      <c r="B6" s="16">
        <v>0.33333333333333331</v>
      </c>
      <c r="H6" s="14"/>
      <c r="I6" s="14"/>
    </row>
    <row r="7" spans="2:9" x14ac:dyDescent="0.25">
      <c r="B7" s="15"/>
      <c r="H7" s="14"/>
      <c r="I7" s="14"/>
    </row>
    <row r="8" spans="2:9" x14ac:dyDescent="0.25">
      <c r="B8" s="16">
        <v>0.375</v>
      </c>
      <c r="C8" s="5" t="s">
        <v>6</v>
      </c>
      <c r="D8" s="44" t="s">
        <v>89</v>
      </c>
      <c r="G8" s="5" t="s">
        <v>6</v>
      </c>
      <c r="H8" s="14"/>
      <c r="I8" s="14"/>
    </row>
    <row r="9" spans="2:9" x14ac:dyDescent="0.25">
      <c r="B9" s="15"/>
      <c r="C9" s="4">
        <v>204</v>
      </c>
      <c r="D9" s="45" t="s">
        <v>90</v>
      </c>
      <c r="G9" s="4">
        <v>204</v>
      </c>
      <c r="H9" s="14"/>
      <c r="I9" s="14"/>
    </row>
    <row r="10" spans="2:9" x14ac:dyDescent="0.25">
      <c r="B10" s="16">
        <v>0.41666666666666669</v>
      </c>
      <c r="C10" s="40" t="s">
        <v>46</v>
      </c>
      <c r="D10" s="45"/>
      <c r="G10" s="40" t="s">
        <v>51</v>
      </c>
      <c r="H10" s="14"/>
      <c r="I10" s="14"/>
    </row>
    <row r="11" spans="2:9" x14ac:dyDescent="0.25">
      <c r="B11" s="15"/>
      <c r="C11" s="40" t="s">
        <v>48</v>
      </c>
      <c r="D11" s="45"/>
      <c r="G11" s="40" t="s">
        <v>52</v>
      </c>
      <c r="H11" s="14"/>
      <c r="I11" s="14"/>
    </row>
    <row r="12" spans="2:9" x14ac:dyDescent="0.25">
      <c r="B12" s="16">
        <v>0.45833333333333331</v>
      </c>
      <c r="C12" s="3"/>
      <c r="E12" s="11" t="s">
        <v>5</v>
      </c>
      <c r="G12" s="40" t="s">
        <v>53</v>
      </c>
      <c r="H12" s="14"/>
      <c r="I12" s="14"/>
    </row>
    <row r="13" spans="2:9" x14ac:dyDescent="0.25">
      <c r="B13" s="15"/>
      <c r="C13" s="3"/>
      <c r="E13" s="12">
        <v>115</v>
      </c>
      <c r="G13" s="3"/>
      <c r="H13" s="14"/>
      <c r="I13" s="14"/>
    </row>
    <row r="14" spans="2:9" x14ac:dyDescent="0.25">
      <c r="B14" s="16">
        <v>0.5</v>
      </c>
      <c r="C14" s="3"/>
      <c r="E14" s="10"/>
      <c r="G14" s="3"/>
      <c r="H14" s="14"/>
      <c r="I14" s="14"/>
    </row>
    <row r="15" spans="2:9" x14ac:dyDescent="0.25">
      <c r="B15" s="15"/>
      <c r="C15" s="3"/>
      <c r="E15" s="10"/>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D18" s="44" t="s">
        <v>2</v>
      </c>
      <c r="E18" s="5" t="s">
        <v>7</v>
      </c>
      <c r="F18" s="44" t="s">
        <v>92</v>
      </c>
      <c r="G18" s="5" t="s">
        <v>6</v>
      </c>
      <c r="H18" s="14"/>
      <c r="I18" s="14"/>
    </row>
    <row r="19" spans="2:9" x14ac:dyDescent="0.25">
      <c r="B19" s="15"/>
      <c r="C19" s="4">
        <v>204</v>
      </c>
      <c r="D19" s="46" t="s">
        <v>96</v>
      </c>
      <c r="E19" s="4">
        <v>309</v>
      </c>
      <c r="F19" s="45" t="s">
        <v>90</v>
      </c>
      <c r="G19" s="4">
        <v>204</v>
      </c>
      <c r="H19" s="14"/>
      <c r="I19" s="14"/>
    </row>
    <row r="20" spans="2:9" x14ac:dyDescent="0.25">
      <c r="B20" s="16">
        <v>0.625</v>
      </c>
      <c r="C20" s="40" t="s">
        <v>44</v>
      </c>
      <c r="D20" s="45" t="s">
        <v>97</v>
      </c>
      <c r="E20" s="3"/>
      <c r="F20" s="45"/>
      <c r="G20" s="3"/>
      <c r="H20" s="14"/>
      <c r="I20" s="14"/>
    </row>
    <row r="21" spans="2:9" x14ac:dyDescent="0.25">
      <c r="B21" s="15"/>
      <c r="C21" s="3"/>
      <c r="D21" s="45"/>
      <c r="E21" s="3"/>
      <c r="F21" s="45"/>
      <c r="G21" s="3"/>
      <c r="H21" s="14"/>
      <c r="I21" s="14"/>
    </row>
    <row r="22" spans="2:9" x14ac:dyDescent="0.25">
      <c r="B22" s="16">
        <v>0.66666666666666663</v>
      </c>
      <c r="C22" s="3"/>
      <c r="D22" s="45"/>
      <c r="E22" s="5" t="s">
        <v>9</v>
      </c>
      <c r="G22" s="3"/>
      <c r="H22" s="14"/>
      <c r="I22" s="14"/>
    </row>
    <row r="23" spans="2:9" x14ac:dyDescent="0.25">
      <c r="B23" s="15"/>
      <c r="C23" s="3"/>
      <c r="D23" s="45"/>
      <c r="E23" s="6" t="s">
        <v>10</v>
      </c>
      <c r="G23" s="3"/>
      <c r="H23" s="14"/>
      <c r="I23" s="14"/>
    </row>
    <row r="24" spans="2:9" x14ac:dyDescent="0.25">
      <c r="B24" s="16">
        <v>0.70833333333333337</v>
      </c>
      <c r="C24" s="3"/>
      <c r="D24" s="45"/>
      <c r="E24" s="3"/>
      <c r="G24" s="3"/>
      <c r="H24" s="14"/>
      <c r="I24" s="14"/>
    </row>
    <row r="25" spans="2:9" x14ac:dyDescent="0.25">
      <c r="B25" s="15"/>
      <c r="C25" s="3"/>
      <c r="D25" s="45"/>
      <c r="E25" s="3"/>
      <c r="G25" s="3"/>
      <c r="H25" s="14"/>
      <c r="I25" s="14"/>
    </row>
    <row r="26" spans="2:9" x14ac:dyDescent="0.25">
      <c r="B26" s="16">
        <v>0.75</v>
      </c>
      <c r="H26" s="14"/>
      <c r="I26" s="14"/>
    </row>
    <row r="27" spans="2:9" x14ac:dyDescent="0.25">
      <c r="B27" s="15"/>
      <c r="H27" s="14"/>
      <c r="I27" s="14"/>
    </row>
    <row r="29" spans="2:9" x14ac:dyDescent="0.25">
      <c r="B29" s="19" t="s">
        <v>21</v>
      </c>
      <c r="C29" s="30">
        <f>C5</f>
        <v>45943</v>
      </c>
      <c r="D29" s="30">
        <f t="shared" ref="D29:I29" si="1">D5</f>
        <v>45944</v>
      </c>
      <c r="E29" s="30">
        <f t="shared" si="1"/>
        <v>45945</v>
      </c>
      <c r="F29" s="30">
        <f t="shared" si="1"/>
        <v>45946</v>
      </c>
      <c r="G29" s="30">
        <f t="shared" si="1"/>
        <v>45947</v>
      </c>
      <c r="H29" s="30">
        <f t="shared" si="1"/>
        <v>45948</v>
      </c>
      <c r="I29" s="30">
        <f t="shared" si="1"/>
        <v>45949</v>
      </c>
    </row>
    <row r="30" spans="2:9" ht="90" x14ac:dyDescent="0.25">
      <c r="B30" s="33"/>
      <c r="C30" s="43" t="s">
        <v>123</v>
      </c>
      <c r="D30" s="43" t="s">
        <v>104</v>
      </c>
      <c r="E30" s="43" t="s">
        <v>31</v>
      </c>
      <c r="F30" s="39" t="s">
        <v>113</v>
      </c>
      <c r="G30" s="43" t="s">
        <v>130</v>
      </c>
      <c r="H30" s="39" t="s">
        <v>113</v>
      </c>
      <c r="I30" s="39" t="s">
        <v>122</v>
      </c>
    </row>
    <row r="31" spans="2:9" ht="30" x14ac:dyDescent="0.25">
      <c r="B31" s="33"/>
      <c r="C31" s="43" t="s">
        <v>129</v>
      </c>
      <c r="D31" s="43" t="s">
        <v>118</v>
      </c>
      <c r="E31" s="39" t="s">
        <v>113</v>
      </c>
      <c r="F31" s="39" t="s">
        <v>139</v>
      </c>
      <c r="G31" s="39" t="s">
        <v>113</v>
      </c>
      <c r="H31" s="39" t="s">
        <v>136</v>
      </c>
      <c r="I31" s="39" t="s">
        <v>113</v>
      </c>
    </row>
    <row r="32" spans="2:9" ht="45" x14ac:dyDescent="0.25">
      <c r="B32" s="33"/>
      <c r="C32" s="33"/>
      <c r="D32" s="43" t="s">
        <v>128</v>
      </c>
      <c r="E32" s="43" t="s">
        <v>141</v>
      </c>
      <c r="F32" s="39" t="s">
        <v>140</v>
      </c>
      <c r="G32" s="39" t="s">
        <v>137</v>
      </c>
      <c r="H32" s="33"/>
      <c r="I32" s="39" t="s">
        <v>138</v>
      </c>
    </row>
    <row r="33" spans="2:9" x14ac:dyDescent="0.25">
      <c r="B33" s="33"/>
      <c r="C33" s="33"/>
      <c r="D33" s="43" t="s">
        <v>132</v>
      </c>
      <c r="E33" s="39" t="s">
        <v>133</v>
      </c>
      <c r="F33" s="39" t="s">
        <v>144</v>
      </c>
      <c r="G33" s="33"/>
      <c r="H33" s="33"/>
      <c r="I33" s="33"/>
    </row>
    <row r="34" spans="2:9" ht="30" x14ac:dyDescent="0.25">
      <c r="B34" s="33"/>
      <c r="C34" s="33"/>
      <c r="D34" s="39" t="s">
        <v>133</v>
      </c>
      <c r="E34" s="33"/>
      <c r="F34" s="39" t="s">
        <v>134</v>
      </c>
      <c r="G34" s="33"/>
      <c r="H34" s="33"/>
      <c r="I34" s="33"/>
    </row>
    <row r="35" spans="2:9" x14ac:dyDescent="0.25">
      <c r="B35" s="33"/>
      <c r="C35" s="33"/>
      <c r="D35" s="33"/>
      <c r="E35" s="33"/>
      <c r="F35" s="39" t="s">
        <v>135</v>
      </c>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6" priority="1" timePeriod="today">
      <formula>FLOOR(C5,1)=TODAY()</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5DE5-0437-43A0-BD56-8902C110AB62}">
  <dimension ref="B2:I46"/>
  <sheetViews>
    <sheetView zoomScale="83" zoomScaleNormal="85" workbookViewId="0">
      <selection activeCell="F23" sqref="F23"/>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5</v>
      </c>
      <c r="D3" s="24">
        <f>C3/Index!R3</f>
        <v>0.125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45950</v>
      </c>
      <c r="D5" s="26">
        <f>C5+1</f>
        <v>45951</v>
      </c>
      <c r="E5" s="26">
        <f t="shared" ref="E5:I5" si="0">D5+1</f>
        <v>45952</v>
      </c>
      <c r="F5" s="26">
        <f t="shared" si="0"/>
        <v>45953</v>
      </c>
      <c r="G5" s="26">
        <f t="shared" si="0"/>
        <v>45954</v>
      </c>
      <c r="H5" s="27">
        <f t="shared" si="0"/>
        <v>45955</v>
      </c>
      <c r="I5" s="27">
        <f t="shared" si="0"/>
        <v>45956</v>
      </c>
    </row>
    <row r="6" spans="2:9" x14ac:dyDescent="0.25">
      <c r="B6" s="16">
        <v>0.33333333333333331</v>
      </c>
      <c r="H6" s="14"/>
      <c r="I6" s="14"/>
    </row>
    <row r="7" spans="2:9" x14ac:dyDescent="0.25">
      <c r="B7" s="15"/>
      <c r="H7" s="14"/>
      <c r="I7" s="14"/>
    </row>
    <row r="8" spans="2:9" x14ac:dyDescent="0.25">
      <c r="B8" s="16">
        <v>0.375</v>
      </c>
      <c r="C8" s="5" t="s">
        <v>6</v>
      </c>
      <c r="D8" s="44" t="s">
        <v>89</v>
      </c>
      <c r="G8" s="5" t="s">
        <v>6</v>
      </c>
      <c r="H8" s="14"/>
      <c r="I8" s="14"/>
    </row>
    <row r="9" spans="2:9" x14ac:dyDescent="0.25">
      <c r="B9" s="15"/>
      <c r="C9" s="4">
        <v>204</v>
      </c>
      <c r="D9" s="45" t="s">
        <v>90</v>
      </c>
      <c r="G9" s="4">
        <v>204</v>
      </c>
      <c r="H9" s="14"/>
      <c r="I9" s="14"/>
    </row>
    <row r="10" spans="2:9" x14ac:dyDescent="0.25">
      <c r="B10" s="16">
        <v>0.41666666666666669</v>
      </c>
      <c r="C10" s="40" t="s">
        <v>45</v>
      </c>
      <c r="D10" s="45"/>
      <c r="G10" s="40" t="s">
        <v>45</v>
      </c>
      <c r="H10" s="14"/>
      <c r="I10" s="14"/>
    </row>
    <row r="11" spans="2:9" x14ac:dyDescent="0.25">
      <c r="B11" s="15"/>
      <c r="C11" s="40" t="s">
        <v>54</v>
      </c>
      <c r="D11" s="45"/>
      <c r="G11" s="40" t="s">
        <v>55</v>
      </c>
      <c r="H11" s="14"/>
      <c r="I11" s="14"/>
    </row>
    <row r="12" spans="2:9" x14ac:dyDescent="0.25">
      <c r="B12" s="16">
        <v>0.45833333333333331</v>
      </c>
      <c r="C12" s="40" t="s">
        <v>56</v>
      </c>
      <c r="E12" s="11" t="s">
        <v>5</v>
      </c>
      <c r="G12" s="3"/>
      <c r="H12" s="14"/>
      <c r="I12" s="14"/>
    </row>
    <row r="13" spans="2:9" x14ac:dyDescent="0.25">
      <c r="B13" s="15"/>
      <c r="C13" s="3"/>
      <c r="E13" s="12">
        <v>115</v>
      </c>
      <c r="G13" s="3"/>
      <c r="H13" s="14"/>
      <c r="I13" s="14"/>
    </row>
    <row r="14" spans="2:9" x14ac:dyDescent="0.25">
      <c r="B14" s="16">
        <v>0.5</v>
      </c>
      <c r="C14" s="3"/>
      <c r="E14" s="10"/>
      <c r="G14" s="3"/>
      <c r="H14" s="14"/>
      <c r="I14" s="14"/>
    </row>
    <row r="15" spans="2:9" x14ac:dyDescent="0.25">
      <c r="B15" s="15"/>
      <c r="C15" s="3"/>
      <c r="E15" s="10"/>
      <c r="G15" s="3"/>
      <c r="H15" s="14"/>
      <c r="I15" s="14"/>
    </row>
    <row r="16" spans="2:9" x14ac:dyDescent="0.25">
      <c r="B16" s="16">
        <v>0.54166666666666663</v>
      </c>
      <c r="E16" s="48" t="s">
        <v>154</v>
      </c>
      <c r="H16" s="14"/>
      <c r="I16" s="14"/>
    </row>
    <row r="17" spans="2:9" x14ac:dyDescent="0.25">
      <c r="B17" s="15"/>
      <c r="E17" s="47"/>
      <c r="H17" s="14"/>
      <c r="I17" s="14"/>
    </row>
    <row r="18" spans="2:9" x14ac:dyDescent="0.25">
      <c r="B18" s="16">
        <v>0.58333333333333337</v>
      </c>
      <c r="C18" s="5" t="s">
        <v>6</v>
      </c>
      <c r="D18" s="9" t="s">
        <v>3</v>
      </c>
      <c r="E18" s="47"/>
      <c r="F18" s="44" t="s">
        <v>92</v>
      </c>
      <c r="G18" s="5" t="s">
        <v>6</v>
      </c>
      <c r="H18" s="14"/>
      <c r="I18" s="14"/>
    </row>
    <row r="19" spans="2:9" x14ac:dyDescent="0.25">
      <c r="B19" s="15"/>
      <c r="C19" s="4">
        <v>204</v>
      </c>
      <c r="D19" s="8" t="s">
        <v>4</v>
      </c>
      <c r="E19" s="47"/>
      <c r="F19" s="45" t="s">
        <v>90</v>
      </c>
      <c r="G19" s="4">
        <v>204</v>
      </c>
      <c r="H19" s="14"/>
      <c r="I19" s="14"/>
    </row>
    <row r="20" spans="2:9" x14ac:dyDescent="0.25">
      <c r="B20" s="16">
        <v>0.625</v>
      </c>
      <c r="C20" s="40" t="s">
        <v>44</v>
      </c>
      <c r="D20" s="7"/>
      <c r="E20" s="47"/>
      <c r="F20" s="45"/>
      <c r="G20" s="3"/>
      <c r="H20" s="14"/>
      <c r="I20" s="14"/>
    </row>
    <row r="21" spans="2:9" x14ac:dyDescent="0.25">
      <c r="B21" s="15"/>
      <c r="C21" s="3"/>
      <c r="D21" s="7"/>
      <c r="E21" s="47"/>
      <c r="F21" s="45"/>
      <c r="G21" s="3"/>
      <c r="H21" s="14"/>
      <c r="I21" s="14"/>
    </row>
    <row r="22" spans="2:9" x14ac:dyDescent="0.25">
      <c r="B22" s="16">
        <v>0.66666666666666663</v>
      </c>
      <c r="C22" s="3"/>
      <c r="D22" s="7"/>
      <c r="E22" s="5" t="s">
        <v>9</v>
      </c>
      <c r="G22" s="3"/>
      <c r="H22" s="14"/>
      <c r="I22" s="14"/>
    </row>
    <row r="23" spans="2:9" x14ac:dyDescent="0.25">
      <c r="B23" s="15"/>
      <c r="C23" s="3"/>
      <c r="D23" s="7"/>
      <c r="E23" s="6" t="s">
        <v>10</v>
      </c>
      <c r="G23" s="3"/>
      <c r="H23" s="14"/>
      <c r="I23" s="14"/>
    </row>
    <row r="24" spans="2:9" x14ac:dyDescent="0.25">
      <c r="B24" s="16">
        <v>0.70833333333333337</v>
      </c>
      <c r="C24" s="3"/>
      <c r="D24" s="7"/>
      <c r="E24" s="3"/>
      <c r="G24" s="3"/>
      <c r="H24" s="14"/>
      <c r="I24" s="14"/>
    </row>
    <row r="25" spans="2:9" x14ac:dyDescent="0.25">
      <c r="B25" s="15"/>
      <c r="C25" s="3"/>
      <c r="D25" s="7"/>
      <c r="E25" s="3"/>
      <c r="G25" s="3"/>
      <c r="H25" s="14"/>
      <c r="I25" s="14"/>
    </row>
    <row r="26" spans="2:9" x14ac:dyDescent="0.25">
      <c r="B26" s="16">
        <v>0.75</v>
      </c>
      <c r="H26" s="14"/>
      <c r="I26" s="14"/>
    </row>
    <row r="27" spans="2:9" x14ac:dyDescent="0.25">
      <c r="B27" s="15"/>
      <c r="H27" s="14"/>
      <c r="I27" s="14"/>
    </row>
    <row r="29" spans="2:9" x14ac:dyDescent="0.25">
      <c r="B29" s="19" t="s">
        <v>21</v>
      </c>
      <c r="C29" s="30">
        <f>C5</f>
        <v>45950</v>
      </c>
      <c r="D29" s="30">
        <f t="shared" ref="D29:I29" si="1">D5</f>
        <v>45951</v>
      </c>
      <c r="E29" s="30">
        <f t="shared" si="1"/>
        <v>45952</v>
      </c>
      <c r="F29" s="30">
        <f t="shared" si="1"/>
        <v>45953</v>
      </c>
      <c r="G29" s="30">
        <f t="shared" si="1"/>
        <v>45954</v>
      </c>
      <c r="H29" s="30">
        <f t="shared" si="1"/>
        <v>45955</v>
      </c>
      <c r="I29" s="30">
        <f t="shared" si="1"/>
        <v>45956</v>
      </c>
    </row>
    <row r="30" spans="2:9" x14ac:dyDescent="0.25">
      <c r="B30" s="33"/>
      <c r="C30" s="39" t="s">
        <v>112</v>
      </c>
      <c r="D30" s="39" t="s">
        <v>112</v>
      </c>
      <c r="E30" s="39" t="s">
        <v>112</v>
      </c>
      <c r="F30" s="39" t="s">
        <v>112</v>
      </c>
      <c r="G30" s="39" t="s">
        <v>112</v>
      </c>
      <c r="H30" s="39" t="s">
        <v>113</v>
      </c>
      <c r="I30" s="39" t="s">
        <v>113</v>
      </c>
    </row>
    <row r="31" spans="2:9" ht="45" x14ac:dyDescent="0.25">
      <c r="B31" s="33"/>
      <c r="C31" s="33"/>
      <c r="D31" s="43" t="s">
        <v>142</v>
      </c>
      <c r="E31" s="39" t="s">
        <v>153</v>
      </c>
      <c r="F31" s="39" t="s">
        <v>113</v>
      </c>
      <c r="G31" s="39" t="s">
        <v>131</v>
      </c>
      <c r="H31" s="33"/>
      <c r="I31" s="33"/>
    </row>
    <row r="32" spans="2:9" ht="30" x14ac:dyDescent="0.25">
      <c r="B32" s="33"/>
      <c r="C32" s="33"/>
      <c r="D32" s="39" t="s">
        <v>143</v>
      </c>
      <c r="E32" s="39" t="s">
        <v>156</v>
      </c>
      <c r="F32" s="33"/>
      <c r="G32" s="33" t="s">
        <v>152</v>
      </c>
      <c r="H32" s="33"/>
      <c r="I32" s="33"/>
    </row>
    <row r="33" spans="2:9" ht="30" x14ac:dyDescent="0.25">
      <c r="B33" s="33"/>
      <c r="C33" s="33"/>
      <c r="D33" s="39" t="s">
        <v>146</v>
      </c>
      <c r="E33" s="39" t="s">
        <v>160</v>
      </c>
      <c r="F33" s="33"/>
      <c r="G33" s="33"/>
      <c r="H33" s="33"/>
      <c r="I33" s="33"/>
    </row>
    <row r="34" spans="2:9" ht="30" x14ac:dyDescent="0.25">
      <c r="B34" s="33"/>
      <c r="C34" s="33"/>
      <c r="D34" s="43" t="s">
        <v>147</v>
      </c>
      <c r="E34" s="33"/>
      <c r="F34" s="33"/>
      <c r="G34" s="33"/>
      <c r="H34" s="33"/>
      <c r="I34" s="33"/>
    </row>
    <row r="35" spans="2:9" ht="30" x14ac:dyDescent="0.25">
      <c r="B35" s="33"/>
      <c r="C35" s="33"/>
      <c r="D35" s="39" t="s">
        <v>155</v>
      </c>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5" priority="1" timePeriod="today">
      <formula>FLOOR(C5,1)=TODAY()</formula>
    </cfRule>
  </conditionalFormatting>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3DF6-2166-4160-9A1D-CC01C28A3394}">
  <dimension ref="B2:I46"/>
  <sheetViews>
    <sheetView zoomScale="85" zoomScaleNormal="85" workbookViewId="0">
      <selection activeCell="H30" sqref="H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6</v>
      </c>
      <c r="D3" s="24">
        <f>C3/Index!R3</f>
        <v>0.15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45957</v>
      </c>
      <c r="D5" s="26">
        <f>C5+1</f>
        <v>45958</v>
      </c>
      <c r="E5" s="26">
        <f t="shared" ref="E5:I5" si="0">D5+1</f>
        <v>45959</v>
      </c>
      <c r="F5" s="26">
        <f t="shared" si="0"/>
        <v>45960</v>
      </c>
      <c r="G5" s="26">
        <f t="shared" si="0"/>
        <v>45961</v>
      </c>
      <c r="H5" s="27">
        <f t="shared" si="0"/>
        <v>45962</v>
      </c>
      <c r="I5" s="27">
        <f t="shared" si="0"/>
        <v>45963</v>
      </c>
    </row>
    <row r="6" spans="2:9" x14ac:dyDescent="0.25">
      <c r="B6" s="16">
        <v>0.33333333333333331</v>
      </c>
      <c r="H6" s="14"/>
      <c r="I6" s="14"/>
    </row>
    <row r="7" spans="2:9" x14ac:dyDescent="0.25">
      <c r="B7" s="15"/>
      <c r="H7" s="14"/>
      <c r="I7" s="14"/>
    </row>
    <row r="8" spans="2:9" x14ac:dyDescent="0.25">
      <c r="B8" s="16">
        <v>0.375</v>
      </c>
      <c r="C8" s="36" t="s">
        <v>6</v>
      </c>
      <c r="D8" s="44" t="s">
        <v>89</v>
      </c>
      <c r="G8" s="36" t="s">
        <v>6</v>
      </c>
      <c r="H8" s="14"/>
      <c r="I8" s="14"/>
    </row>
    <row r="9" spans="2:9" x14ac:dyDescent="0.25">
      <c r="B9" s="15"/>
      <c r="C9" s="41">
        <v>204</v>
      </c>
      <c r="D9" s="45" t="s">
        <v>90</v>
      </c>
      <c r="G9" s="41">
        <v>204</v>
      </c>
      <c r="H9" s="14"/>
      <c r="I9" s="14"/>
    </row>
    <row r="10" spans="2:9" x14ac:dyDescent="0.25">
      <c r="B10" s="16">
        <v>0.41666666666666669</v>
      </c>
      <c r="C10" s="37"/>
      <c r="D10" s="45"/>
      <c r="G10" s="37"/>
      <c r="H10" s="14"/>
      <c r="I10" s="14"/>
    </row>
    <row r="11" spans="2:9" x14ac:dyDescent="0.25">
      <c r="B11" s="15"/>
      <c r="C11" s="37"/>
      <c r="D11" s="45"/>
      <c r="G11" s="37"/>
      <c r="H11" s="14"/>
      <c r="I11" s="14"/>
    </row>
    <row r="12" spans="2:9" x14ac:dyDescent="0.25">
      <c r="B12" s="16">
        <v>0.45833333333333331</v>
      </c>
      <c r="C12" s="37"/>
      <c r="E12" s="11" t="s">
        <v>5</v>
      </c>
      <c r="G12" s="37"/>
      <c r="H12" s="14"/>
      <c r="I12" s="14"/>
    </row>
    <row r="13" spans="2:9" x14ac:dyDescent="0.25">
      <c r="B13" s="15"/>
      <c r="C13" s="37"/>
      <c r="E13" s="12">
        <v>115</v>
      </c>
      <c r="G13" s="37"/>
      <c r="H13" s="14"/>
      <c r="I13" s="14"/>
    </row>
    <row r="14" spans="2:9" x14ac:dyDescent="0.25">
      <c r="B14" s="16">
        <v>0.5</v>
      </c>
      <c r="C14" s="37"/>
      <c r="E14" s="10"/>
      <c r="G14" s="37"/>
      <c r="H14" s="14"/>
      <c r="I14" s="14"/>
    </row>
    <row r="15" spans="2:9" x14ac:dyDescent="0.25">
      <c r="B15" s="15"/>
      <c r="C15" s="37"/>
      <c r="E15" s="10"/>
      <c r="G15" s="37"/>
      <c r="H15" s="14"/>
      <c r="I15" s="14"/>
    </row>
    <row r="16" spans="2:9" x14ac:dyDescent="0.25">
      <c r="B16" s="16">
        <v>0.54166666666666663</v>
      </c>
      <c r="H16" s="14"/>
      <c r="I16" s="14"/>
    </row>
    <row r="17" spans="2:9" x14ac:dyDescent="0.25">
      <c r="B17" s="15"/>
      <c r="H17" s="14"/>
      <c r="I17" s="14"/>
    </row>
    <row r="18" spans="2:9" x14ac:dyDescent="0.25">
      <c r="B18" s="16">
        <v>0.58333333333333337</v>
      </c>
      <c r="C18" s="36" t="s">
        <v>6</v>
      </c>
      <c r="D18" s="28" t="s">
        <v>26</v>
      </c>
      <c r="F18" s="44" t="s">
        <v>92</v>
      </c>
      <c r="G18" s="36" t="s">
        <v>6</v>
      </c>
      <c r="H18" s="14"/>
      <c r="I18" s="14"/>
    </row>
    <row r="19" spans="2:9" x14ac:dyDescent="0.25">
      <c r="B19" s="15"/>
      <c r="C19" s="41">
        <v>204</v>
      </c>
      <c r="D19" s="29" t="s">
        <v>1</v>
      </c>
      <c r="F19" s="45" t="s">
        <v>90</v>
      </c>
      <c r="G19" s="41">
        <v>204</v>
      </c>
      <c r="H19" s="14"/>
      <c r="I19" s="14"/>
    </row>
    <row r="20" spans="2:9" x14ac:dyDescent="0.25">
      <c r="B20" s="16">
        <v>0.625</v>
      </c>
      <c r="C20" s="37"/>
      <c r="D20" s="29"/>
      <c r="F20" s="45"/>
      <c r="G20" s="37"/>
      <c r="H20" s="14"/>
      <c r="I20" s="14"/>
    </row>
    <row r="21" spans="2:9" x14ac:dyDescent="0.25">
      <c r="B21" s="15"/>
      <c r="C21" s="37"/>
      <c r="D21" s="29"/>
      <c r="F21" s="45"/>
      <c r="G21" s="37"/>
      <c r="H21" s="14"/>
      <c r="I21" s="14"/>
    </row>
    <row r="22" spans="2:9" x14ac:dyDescent="0.25">
      <c r="B22" s="16">
        <v>0.66666666666666663</v>
      </c>
      <c r="C22" s="37"/>
      <c r="D22" s="29"/>
      <c r="E22" s="5" t="s">
        <v>9</v>
      </c>
      <c r="G22" s="37"/>
      <c r="H22" s="14"/>
      <c r="I22" s="14"/>
    </row>
    <row r="23" spans="2:9" x14ac:dyDescent="0.25">
      <c r="B23" s="15"/>
      <c r="C23" s="37"/>
      <c r="D23" s="29"/>
      <c r="E23" s="6" t="s">
        <v>10</v>
      </c>
      <c r="G23" s="37"/>
      <c r="H23" s="14"/>
      <c r="I23" s="14"/>
    </row>
    <row r="24" spans="2:9" x14ac:dyDescent="0.25">
      <c r="B24" s="16">
        <v>0.70833333333333337</v>
      </c>
      <c r="C24" s="37"/>
      <c r="D24" s="29"/>
      <c r="E24" s="3"/>
      <c r="G24" s="37"/>
      <c r="H24" s="14"/>
      <c r="I24" s="14"/>
    </row>
    <row r="25" spans="2:9" x14ac:dyDescent="0.25">
      <c r="B25" s="15"/>
      <c r="C25" s="37"/>
      <c r="D25" s="29"/>
      <c r="E25" s="3"/>
      <c r="G25" s="37"/>
      <c r="H25" s="14"/>
      <c r="I25" s="14"/>
    </row>
    <row r="26" spans="2:9" x14ac:dyDescent="0.25">
      <c r="B26" s="16">
        <v>0.75</v>
      </c>
      <c r="H26" s="14"/>
      <c r="I26" s="14"/>
    </row>
    <row r="27" spans="2:9" x14ac:dyDescent="0.25">
      <c r="B27" s="15"/>
      <c r="H27" s="14"/>
      <c r="I27" s="14"/>
    </row>
    <row r="29" spans="2:9" x14ac:dyDescent="0.25">
      <c r="B29" s="19" t="s">
        <v>21</v>
      </c>
      <c r="C29" s="30">
        <f>C5</f>
        <v>45957</v>
      </c>
      <c r="D29" s="30">
        <f t="shared" ref="D29:I29" si="1">D5</f>
        <v>45958</v>
      </c>
      <c r="E29" s="30">
        <f t="shared" si="1"/>
        <v>45959</v>
      </c>
      <c r="F29" s="30">
        <f t="shared" si="1"/>
        <v>45960</v>
      </c>
      <c r="G29" s="30">
        <f t="shared" si="1"/>
        <v>45961</v>
      </c>
      <c r="H29" s="30">
        <f t="shared" si="1"/>
        <v>45962</v>
      </c>
      <c r="I29" s="30">
        <f t="shared" si="1"/>
        <v>45963</v>
      </c>
    </row>
    <row r="30" spans="2:9" ht="30" x14ac:dyDescent="0.25">
      <c r="B30" s="33"/>
      <c r="C30" s="39" t="s">
        <v>57</v>
      </c>
      <c r="D30" s="39" t="s">
        <v>57</v>
      </c>
      <c r="E30" s="39" t="s">
        <v>57</v>
      </c>
      <c r="F30" s="39" t="s">
        <v>57</v>
      </c>
      <c r="G30" s="39" t="s">
        <v>57</v>
      </c>
      <c r="H30" s="39" t="s">
        <v>172</v>
      </c>
      <c r="I30" s="33"/>
    </row>
    <row r="31" spans="2:9" ht="30" x14ac:dyDescent="0.25">
      <c r="B31" s="33"/>
      <c r="C31" s="33" t="s">
        <v>148</v>
      </c>
      <c r="D31" s="33" t="s">
        <v>148</v>
      </c>
      <c r="E31" s="33" t="s">
        <v>148</v>
      </c>
      <c r="F31" s="39" t="s">
        <v>145</v>
      </c>
      <c r="G31" s="33" t="s">
        <v>148</v>
      </c>
      <c r="H31" s="33"/>
      <c r="I31" s="33"/>
    </row>
    <row r="32" spans="2:9" ht="30" x14ac:dyDescent="0.25">
      <c r="B32" s="33"/>
      <c r="C32" s="33"/>
      <c r="D32" s="33"/>
      <c r="E32" s="33"/>
      <c r="F32" s="33" t="s">
        <v>148</v>
      </c>
      <c r="G32" s="39" t="s">
        <v>157</v>
      </c>
      <c r="H32" s="33"/>
      <c r="I32" s="33"/>
    </row>
    <row r="33" spans="2:9" ht="30" x14ac:dyDescent="0.25">
      <c r="B33" s="33"/>
      <c r="C33" s="33"/>
      <c r="D33" s="33"/>
      <c r="E33" s="33"/>
      <c r="F33" s="39" t="s">
        <v>158</v>
      </c>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4" priority="1" timePeriod="today">
      <formula>FLOOR(C5,1)=TODAY()</formula>
    </cfRule>
  </conditionalFormatting>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57DD-36F6-4D3D-9181-60703F29B047}">
  <dimension ref="B2:I46"/>
  <sheetViews>
    <sheetView zoomScale="75" zoomScaleNormal="85" workbookViewId="0">
      <selection activeCell="H30" sqref="H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7</v>
      </c>
      <c r="D3" s="24">
        <f>C3/Index!R3</f>
        <v>0.17499999999999999</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45964</v>
      </c>
      <c r="D5" s="26">
        <f>C5+1</f>
        <v>45965</v>
      </c>
      <c r="E5" s="26">
        <f t="shared" ref="E5:I5" si="0">D5+1</f>
        <v>45966</v>
      </c>
      <c r="F5" s="26">
        <f t="shared" si="0"/>
        <v>45967</v>
      </c>
      <c r="G5" s="26">
        <f t="shared" si="0"/>
        <v>45968</v>
      </c>
      <c r="H5" s="27">
        <f t="shared" si="0"/>
        <v>45969</v>
      </c>
      <c r="I5" s="27">
        <f t="shared" si="0"/>
        <v>45970</v>
      </c>
    </row>
    <row r="6" spans="2:9" x14ac:dyDescent="0.25">
      <c r="B6" s="16">
        <v>0.33333333333333331</v>
      </c>
      <c r="H6" s="14"/>
      <c r="I6" s="14"/>
    </row>
    <row r="7" spans="2:9" x14ac:dyDescent="0.25">
      <c r="B7" s="15"/>
      <c r="C7" s="36" t="s">
        <v>6</v>
      </c>
      <c r="H7" s="14"/>
      <c r="I7" s="14"/>
    </row>
    <row r="8" spans="2:9" x14ac:dyDescent="0.25">
      <c r="B8" s="16">
        <v>0.375</v>
      </c>
      <c r="C8" s="41" t="s">
        <v>161</v>
      </c>
      <c r="D8" s="36" t="s">
        <v>6</v>
      </c>
      <c r="F8" s="36" t="s">
        <v>6</v>
      </c>
      <c r="G8" s="36" t="s">
        <v>6</v>
      </c>
      <c r="H8" s="14"/>
      <c r="I8" s="14"/>
    </row>
    <row r="9" spans="2:9" x14ac:dyDescent="0.25">
      <c r="B9" s="15"/>
      <c r="C9" s="37" t="s">
        <v>46</v>
      </c>
      <c r="D9" s="41">
        <v>204</v>
      </c>
      <c r="F9" s="41">
        <v>204</v>
      </c>
      <c r="G9" s="41">
        <v>204</v>
      </c>
      <c r="H9" s="14"/>
      <c r="I9" s="14"/>
    </row>
    <row r="10" spans="2:9" x14ac:dyDescent="0.25">
      <c r="B10" s="16">
        <v>0.41666666666666669</v>
      </c>
      <c r="C10" s="37" t="s">
        <v>58</v>
      </c>
      <c r="D10" s="37" t="s">
        <v>45</v>
      </c>
      <c r="F10" s="37" t="s">
        <v>45</v>
      </c>
      <c r="G10" s="37" t="s">
        <v>45</v>
      </c>
      <c r="H10" s="14"/>
      <c r="I10" s="14"/>
    </row>
    <row r="11" spans="2:9" x14ac:dyDescent="0.25">
      <c r="B11" s="15"/>
      <c r="C11" s="37" t="s">
        <v>163</v>
      </c>
      <c r="D11" s="37" t="s">
        <v>59</v>
      </c>
      <c r="F11" s="37" t="s">
        <v>59</v>
      </c>
      <c r="G11" s="37" t="s">
        <v>59</v>
      </c>
      <c r="H11" s="14"/>
      <c r="I11" s="14"/>
    </row>
    <row r="12" spans="2:9" x14ac:dyDescent="0.25">
      <c r="B12" s="16">
        <v>0.45833333333333331</v>
      </c>
      <c r="C12" s="37"/>
      <c r="D12" s="37" t="s">
        <v>165</v>
      </c>
      <c r="E12" s="11" t="s">
        <v>5</v>
      </c>
      <c r="F12" s="37" t="s">
        <v>167</v>
      </c>
      <c r="G12" s="37" t="s">
        <v>169</v>
      </c>
      <c r="H12" s="14"/>
      <c r="I12" s="14"/>
    </row>
    <row r="13" spans="2:9" x14ac:dyDescent="0.25">
      <c r="B13" s="15"/>
      <c r="C13" s="37"/>
      <c r="D13" s="37"/>
      <c r="E13" s="12">
        <v>115</v>
      </c>
      <c r="F13" s="37"/>
      <c r="G13" s="37"/>
      <c r="H13" s="14"/>
      <c r="I13" s="14"/>
    </row>
    <row r="14" spans="2:9" x14ac:dyDescent="0.25">
      <c r="B14" s="16">
        <v>0.5</v>
      </c>
      <c r="C14" s="37"/>
      <c r="D14" s="37"/>
      <c r="E14" s="10"/>
      <c r="F14" s="37"/>
      <c r="G14" s="37"/>
      <c r="H14" s="14"/>
      <c r="I14" s="14"/>
    </row>
    <row r="15" spans="2:9" x14ac:dyDescent="0.25">
      <c r="B15" s="15"/>
      <c r="C15" s="37"/>
      <c r="D15" s="37"/>
      <c r="E15" s="10"/>
      <c r="F15" s="37"/>
      <c r="G15" s="37"/>
      <c r="H15" s="14"/>
      <c r="I15" s="14"/>
    </row>
    <row r="16" spans="2:9" x14ac:dyDescent="0.25">
      <c r="B16" s="16">
        <v>0.54166666666666663</v>
      </c>
      <c r="H16" s="14"/>
      <c r="I16" s="14"/>
    </row>
    <row r="17" spans="2:9" x14ac:dyDescent="0.25">
      <c r="B17" s="15"/>
      <c r="H17" s="14"/>
      <c r="I17" s="14"/>
    </row>
    <row r="18" spans="2:9" x14ac:dyDescent="0.25">
      <c r="B18" s="16">
        <v>0.58333333333333337</v>
      </c>
      <c r="C18" s="36" t="s">
        <v>6</v>
      </c>
      <c r="D18" s="36" t="s">
        <v>6</v>
      </c>
      <c r="E18" s="5" t="s">
        <v>7</v>
      </c>
      <c r="F18" s="36" t="s">
        <v>6</v>
      </c>
      <c r="G18" s="36" t="s">
        <v>6</v>
      </c>
      <c r="H18" s="14"/>
      <c r="I18" s="14"/>
    </row>
    <row r="19" spans="2:9" x14ac:dyDescent="0.25">
      <c r="B19" s="15"/>
      <c r="C19" s="41" t="s">
        <v>161</v>
      </c>
      <c r="D19" s="41">
        <v>204</v>
      </c>
      <c r="E19" s="4">
        <v>309</v>
      </c>
      <c r="F19" s="41">
        <v>204</v>
      </c>
      <c r="G19" s="41">
        <v>204</v>
      </c>
      <c r="H19" s="14"/>
      <c r="I19" s="14"/>
    </row>
    <row r="20" spans="2:9" x14ac:dyDescent="0.25">
      <c r="B20" s="16">
        <v>0.625</v>
      </c>
      <c r="C20" s="37" t="s">
        <v>44</v>
      </c>
      <c r="D20" s="37" t="s">
        <v>166</v>
      </c>
      <c r="E20" s="3"/>
      <c r="F20" s="37"/>
      <c r="G20" s="37" t="s">
        <v>170</v>
      </c>
      <c r="H20" s="14"/>
      <c r="I20" s="14"/>
    </row>
    <row r="21" spans="2:9" x14ac:dyDescent="0.25">
      <c r="B21" s="15"/>
      <c r="C21" s="37" t="s">
        <v>164</v>
      </c>
      <c r="D21" s="37"/>
      <c r="E21" s="3"/>
      <c r="F21" s="37"/>
      <c r="G21" s="37"/>
      <c r="H21" s="14"/>
      <c r="I21" s="14"/>
    </row>
    <row r="22" spans="2:9" x14ac:dyDescent="0.25">
      <c r="B22" s="16">
        <v>0.66666666666666663</v>
      </c>
      <c r="C22" s="37"/>
      <c r="D22" s="37"/>
      <c r="E22" s="5" t="s">
        <v>9</v>
      </c>
      <c r="F22" s="37" t="s">
        <v>168</v>
      </c>
      <c r="G22" s="37"/>
      <c r="H22" s="14"/>
      <c r="I22" s="14"/>
    </row>
    <row r="23" spans="2:9" x14ac:dyDescent="0.25">
      <c r="B23" s="15"/>
      <c r="C23" s="37"/>
      <c r="D23" s="37"/>
      <c r="E23" s="6" t="s">
        <v>10</v>
      </c>
      <c r="F23" s="37"/>
      <c r="G23" s="37"/>
      <c r="H23" s="14"/>
      <c r="I23" s="14"/>
    </row>
    <row r="24" spans="2:9" x14ac:dyDescent="0.25">
      <c r="B24" s="16">
        <v>0.70833333333333337</v>
      </c>
      <c r="C24" s="37"/>
      <c r="D24" s="37"/>
      <c r="E24" s="3"/>
      <c r="F24" s="37"/>
      <c r="G24" s="37"/>
      <c r="H24" s="14"/>
      <c r="I24" s="14"/>
    </row>
    <row r="25" spans="2:9" x14ac:dyDescent="0.25">
      <c r="B25" s="15"/>
      <c r="C25" s="37"/>
      <c r="D25" s="37"/>
      <c r="E25" s="3"/>
      <c r="F25" s="37"/>
      <c r="G25" s="37"/>
      <c r="H25" s="14"/>
      <c r="I25" s="14"/>
    </row>
    <row r="26" spans="2:9" x14ac:dyDescent="0.25">
      <c r="B26" s="16">
        <v>0.75</v>
      </c>
      <c r="H26" s="14"/>
      <c r="I26" s="14"/>
    </row>
    <row r="27" spans="2:9" x14ac:dyDescent="0.25">
      <c r="B27" s="15"/>
      <c r="H27" s="14"/>
      <c r="I27" s="14"/>
    </row>
    <row r="29" spans="2:9" x14ac:dyDescent="0.25">
      <c r="B29" s="19" t="s">
        <v>21</v>
      </c>
      <c r="C29" s="30">
        <f>C5</f>
        <v>45964</v>
      </c>
      <c r="D29" s="30">
        <f t="shared" ref="D29:I29" si="1">D5</f>
        <v>45965</v>
      </c>
      <c r="E29" s="30">
        <f t="shared" si="1"/>
        <v>45966</v>
      </c>
      <c r="F29" s="30">
        <f t="shared" si="1"/>
        <v>45967</v>
      </c>
      <c r="G29" s="30">
        <f t="shared" si="1"/>
        <v>45968</v>
      </c>
      <c r="H29" s="30">
        <f t="shared" si="1"/>
        <v>45969</v>
      </c>
      <c r="I29" s="30">
        <f t="shared" si="1"/>
        <v>45970</v>
      </c>
    </row>
    <row r="30" spans="2:9" ht="30" x14ac:dyDescent="0.25">
      <c r="B30" s="33"/>
      <c r="C30" s="43" t="s">
        <v>61</v>
      </c>
      <c r="D30" s="43" t="s">
        <v>149</v>
      </c>
      <c r="E30" s="43" t="s">
        <v>149</v>
      </c>
      <c r="F30" s="43" t="s">
        <v>149</v>
      </c>
      <c r="G30" s="43" t="s">
        <v>60</v>
      </c>
      <c r="H30" s="39" t="s">
        <v>179</v>
      </c>
      <c r="I30" s="33"/>
    </row>
    <row r="31" spans="2:9" ht="30" x14ac:dyDescent="0.25">
      <c r="B31" s="33"/>
      <c r="C31" s="43" t="s">
        <v>149</v>
      </c>
      <c r="D31" s="33"/>
      <c r="E31" s="39" t="s">
        <v>173</v>
      </c>
      <c r="F31" s="33"/>
      <c r="G31" s="43" t="s">
        <v>149</v>
      </c>
      <c r="H31" s="33"/>
      <c r="I31" s="33"/>
    </row>
    <row r="32" spans="2:9" ht="30" x14ac:dyDescent="0.25">
      <c r="B32" s="33"/>
      <c r="C32" s="43" t="s">
        <v>159</v>
      </c>
      <c r="D32" s="33"/>
      <c r="E32" s="33"/>
      <c r="F32" s="33"/>
      <c r="G32" s="33"/>
      <c r="H32" s="33"/>
      <c r="I32" s="33"/>
    </row>
    <row r="33" spans="2:9" x14ac:dyDescent="0.25">
      <c r="B33" s="33"/>
      <c r="C33" s="43" t="s">
        <v>162</v>
      </c>
      <c r="D33" s="33"/>
      <c r="E33" s="33"/>
      <c r="F33" s="33"/>
      <c r="G33" s="33"/>
      <c r="H33" s="33"/>
      <c r="I33" s="33"/>
    </row>
    <row r="34" spans="2:9" x14ac:dyDescent="0.25">
      <c r="B34" s="33"/>
      <c r="C34" s="43" t="s">
        <v>171</v>
      </c>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3" priority="1" timePeriod="today">
      <formula>FLOOR(C5,1)=TODAY()</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D00F-E00B-4712-A98C-299E1C436B50}">
  <dimension ref="B2:I46"/>
  <sheetViews>
    <sheetView zoomScale="85" zoomScaleNormal="85" workbookViewId="0">
      <selection activeCell="I31" sqref="I31:I32"/>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8</v>
      </c>
      <c r="D3" s="24">
        <f>C3/Index!R3</f>
        <v>0.2</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45971</v>
      </c>
      <c r="D5" s="26">
        <f>C5+1</f>
        <v>45972</v>
      </c>
      <c r="E5" s="26">
        <f t="shared" ref="E5:I5" si="0">D5+1</f>
        <v>45973</v>
      </c>
      <c r="F5" s="26">
        <f t="shared" si="0"/>
        <v>45974</v>
      </c>
      <c r="G5" s="26">
        <f t="shared" si="0"/>
        <v>45975</v>
      </c>
      <c r="H5" s="27">
        <f t="shared" si="0"/>
        <v>45976</v>
      </c>
      <c r="I5" s="27">
        <f t="shared" si="0"/>
        <v>45977</v>
      </c>
    </row>
    <row r="6" spans="2:9" x14ac:dyDescent="0.25">
      <c r="B6" s="16">
        <v>0.33333333333333331</v>
      </c>
      <c r="H6" s="14"/>
      <c r="I6" s="14"/>
    </row>
    <row r="7" spans="2:9" x14ac:dyDescent="0.25">
      <c r="B7" s="15"/>
      <c r="H7" s="14"/>
      <c r="I7" s="14"/>
    </row>
    <row r="8" spans="2:9" x14ac:dyDescent="0.25">
      <c r="B8" s="16">
        <v>0.375</v>
      </c>
      <c r="F8" s="36" t="s">
        <v>63</v>
      </c>
      <c r="G8" s="5" t="s">
        <v>6</v>
      </c>
      <c r="H8" s="14"/>
      <c r="I8" s="14"/>
    </row>
    <row r="9" spans="2:9" x14ac:dyDescent="0.25">
      <c r="B9" s="15"/>
      <c r="F9" s="37"/>
      <c r="G9" s="4">
        <v>204</v>
      </c>
      <c r="H9" s="14"/>
      <c r="I9" s="14"/>
    </row>
    <row r="10" spans="2:9" x14ac:dyDescent="0.25">
      <c r="B10" s="16">
        <v>0.41666666666666669</v>
      </c>
      <c r="F10" s="37"/>
      <c r="G10" s="40" t="s">
        <v>64</v>
      </c>
      <c r="H10" s="14"/>
      <c r="I10" s="14"/>
    </row>
    <row r="11" spans="2:9" x14ac:dyDescent="0.25">
      <c r="B11" s="15"/>
      <c r="F11" s="37"/>
      <c r="G11" s="40" t="s">
        <v>45</v>
      </c>
      <c r="H11" s="14"/>
      <c r="I11" s="14"/>
    </row>
    <row r="12" spans="2:9" x14ac:dyDescent="0.25">
      <c r="B12" s="16">
        <v>0.45833333333333331</v>
      </c>
      <c r="E12" s="11" t="s">
        <v>5</v>
      </c>
      <c r="F12" s="37"/>
      <c r="G12" s="3"/>
      <c r="H12" s="14"/>
      <c r="I12" s="14"/>
    </row>
    <row r="13" spans="2:9" x14ac:dyDescent="0.25">
      <c r="B13" s="15"/>
      <c r="E13" s="12">
        <v>115</v>
      </c>
      <c r="F13" s="37"/>
      <c r="G13" s="3"/>
      <c r="H13" s="14"/>
      <c r="I13" s="14"/>
    </row>
    <row r="14" spans="2:9" x14ac:dyDescent="0.25">
      <c r="B14" s="16">
        <v>0.5</v>
      </c>
      <c r="E14" s="10"/>
      <c r="F14" s="37"/>
      <c r="G14" s="3"/>
      <c r="H14" s="14"/>
      <c r="I14" s="14"/>
    </row>
    <row r="15" spans="2:9" x14ac:dyDescent="0.25">
      <c r="B15" s="15"/>
      <c r="E15" s="10"/>
      <c r="F15" s="37"/>
      <c r="G15" s="3"/>
      <c r="H15" s="14"/>
      <c r="I15" s="14"/>
    </row>
    <row r="16" spans="2:9" x14ac:dyDescent="0.25">
      <c r="B16" s="16">
        <v>0.54166666666666663</v>
      </c>
      <c r="F16" s="37"/>
      <c r="H16" s="14"/>
      <c r="I16" s="14"/>
    </row>
    <row r="17" spans="2:9" x14ac:dyDescent="0.25">
      <c r="B17" s="15"/>
      <c r="F17" s="37"/>
      <c r="H17" s="14"/>
      <c r="I17" s="14"/>
    </row>
    <row r="18" spans="2:9" x14ac:dyDescent="0.25">
      <c r="B18" s="16">
        <v>0.58333333333333337</v>
      </c>
      <c r="F18" s="37"/>
      <c r="G18" s="5" t="s">
        <v>6</v>
      </c>
      <c r="H18" s="14"/>
      <c r="I18" s="14"/>
    </row>
    <row r="19" spans="2:9" x14ac:dyDescent="0.25">
      <c r="B19" s="15"/>
      <c r="F19" s="37"/>
      <c r="G19" s="4">
        <v>204</v>
      </c>
      <c r="H19" s="14"/>
      <c r="I19" s="14"/>
    </row>
    <row r="20" spans="2:9" x14ac:dyDescent="0.25">
      <c r="B20" s="16">
        <v>0.625</v>
      </c>
      <c r="F20" s="37"/>
      <c r="G20" s="3"/>
      <c r="H20" s="14"/>
      <c r="I20" s="14"/>
    </row>
    <row r="21" spans="2:9" x14ac:dyDescent="0.25">
      <c r="B21" s="15"/>
      <c r="F21" s="37"/>
      <c r="G21" s="3"/>
      <c r="H21" s="14"/>
      <c r="I21" s="14"/>
    </row>
    <row r="22" spans="2:9" x14ac:dyDescent="0.25">
      <c r="B22" s="16">
        <v>0.66666666666666663</v>
      </c>
      <c r="E22" s="5" t="s">
        <v>9</v>
      </c>
      <c r="F22" s="37"/>
      <c r="G22" s="3"/>
      <c r="H22" s="14"/>
      <c r="I22" s="14"/>
    </row>
    <row r="23" spans="2:9" x14ac:dyDescent="0.25">
      <c r="B23" s="15"/>
      <c r="E23" s="6" t="s">
        <v>10</v>
      </c>
      <c r="F23" s="37"/>
      <c r="G23" s="3"/>
      <c r="H23" s="14"/>
      <c r="I23" s="14"/>
    </row>
    <row r="24" spans="2:9" x14ac:dyDescent="0.25">
      <c r="B24" s="16">
        <v>0.70833333333333337</v>
      </c>
      <c r="E24" s="3"/>
      <c r="F24" s="37"/>
      <c r="G24" s="3"/>
      <c r="H24" s="14"/>
      <c r="I24" s="14"/>
    </row>
    <row r="25" spans="2:9" x14ac:dyDescent="0.25">
      <c r="B25" s="15"/>
      <c r="E25" s="3"/>
      <c r="F25" s="37"/>
      <c r="G25" s="3"/>
      <c r="H25" s="14"/>
      <c r="I25" s="14"/>
    </row>
    <row r="26" spans="2:9" x14ac:dyDescent="0.25">
      <c r="B26" s="16">
        <v>0.75</v>
      </c>
      <c r="H26" s="14"/>
      <c r="I26" s="14"/>
    </row>
    <row r="27" spans="2:9" x14ac:dyDescent="0.25">
      <c r="B27" s="15"/>
      <c r="H27" s="14"/>
      <c r="I27" s="14"/>
    </row>
    <row r="29" spans="2:9" x14ac:dyDescent="0.25">
      <c r="B29" s="19" t="s">
        <v>21</v>
      </c>
      <c r="C29" s="30">
        <f>C5</f>
        <v>45971</v>
      </c>
      <c r="D29" s="30">
        <f t="shared" ref="D29:I29" si="1">D5</f>
        <v>45972</v>
      </c>
      <c r="E29" s="30">
        <f t="shared" si="1"/>
        <v>45973</v>
      </c>
      <c r="F29" s="30">
        <f t="shared" si="1"/>
        <v>45974</v>
      </c>
      <c r="G29" s="30">
        <f t="shared" si="1"/>
        <v>45975</v>
      </c>
      <c r="H29" s="30">
        <f t="shared" si="1"/>
        <v>45976</v>
      </c>
      <c r="I29" s="30">
        <f t="shared" si="1"/>
        <v>45977</v>
      </c>
    </row>
    <row r="30" spans="2:9" x14ac:dyDescent="0.25">
      <c r="B30" s="33"/>
      <c r="C30" s="43" t="s">
        <v>62</v>
      </c>
      <c r="D30" s="43" t="s">
        <v>41</v>
      </c>
      <c r="E30" s="43" t="s">
        <v>185</v>
      </c>
      <c r="F30" s="43" t="s">
        <v>63</v>
      </c>
      <c r="G30" s="43" t="s">
        <v>198</v>
      </c>
      <c r="H30" s="43" t="s">
        <v>187</v>
      </c>
      <c r="I30" s="43" t="s">
        <v>187</v>
      </c>
    </row>
    <row r="31" spans="2:9" ht="30" x14ac:dyDescent="0.25">
      <c r="B31" s="33"/>
      <c r="C31" s="43" t="s">
        <v>184</v>
      </c>
      <c r="D31" s="43" t="s">
        <v>174</v>
      </c>
      <c r="E31" s="43" t="s">
        <v>188</v>
      </c>
      <c r="F31" s="33"/>
      <c r="G31" s="43" t="s">
        <v>186</v>
      </c>
      <c r="H31" s="33"/>
      <c r="I31" s="33"/>
    </row>
    <row r="32" spans="2:9" x14ac:dyDescent="0.25">
      <c r="B32" s="33"/>
      <c r="C32" s="33"/>
      <c r="D32" s="33"/>
      <c r="E32" s="33"/>
      <c r="F32" s="33"/>
      <c r="G32" s="43" t="s">
        <v>189</v>
      </c>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2" priority="1" timePeriod="today">
      <formula>FLOOR(C5,1)=TODAY()</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8765-AEBB-4924-B6A9-4BB729875067}">
  <dimension ref="B2:I46"/>
  <sheetViews>
    <sheetView zoomScale="54" zoomScaleNormal="85" workbookViewId="0">
      <selection activeCell="F25" sqref="F25"/>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9</v>
      </c>
      <c r="D3" s="24">
        <f>C3/Index!R3</f>
        <v>0.22500000000000001</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45978</v>
      </c>
      <c r="D5" s="26">
        <f>C5+1</f>
        <v>45979</v>
      </c>
      <c r="E5" s="26">
        <f t="shared" ref="E5:I5" si="0">D5+1</f>
        <v>45980</v>
      </c>
      <c r="F5" s="26">
        <f t="shared" si="0"/>
        <v>45981</v>
      </c>
      <c r="G5" s="26">
        <f t="shared" si="0"/>
        <v>45982</v>
      </c>
      <c r="H5" s="27">
        <f t="shared" si="0"/>
        <v>45983</v>
      </c>
      <c r="I5" s="27">
        <f t="shared" si="0"/>
        <v>45984</v>
      </c>
    </row>
    <row r="6" spans="2:9" x14ac:dyDescent="0.25">
      <c r="B6" s="16">
        <v>0.33333333333333331</v>
      </c>
      <c r="H6" s="14"/>
      <c r="I6" s="14"/>
    </row>
    <row r="7" spans="2:9" x14ac:dyDescent="0.25">
      <c r="B7" s="15"/>
      <c r="H7" s="14"/>
      <c r="I7" s="14"/>
    </row>
    <row r="8" spans="2:9" x14ac:dyDescent="0.25">
      <c r="B8" s="16">
        <v>0.375</v>
      </c>
      <c r="C8" s="5" t="s">
        <v>6</v>
      </c>
      <c r="D8" s="5" t="s">
        <v>193</v>
      </c>
      <c r="G8" s="5" t="s">
        <v>6</v>
      </c>
      <c r="H8" s="14"/>
      <c r="I8" s="14"/>
    </row>
    <row r="9" spans="2:9" x14ac:dyDescent="0.25">
      <c r="B9" s="15"/>
      <c r="C9" s="4">
        <v>204</v>
      </c>
      <c r="D9" s="6" t="s">
        <v>194</v>
      </c>
      <c r="G9" s="4">
        <v>204</v>
      </c>
      <c r="H9" s="14"/>
      <c r="I9" s="14"/>
    </row>
    <row r="10" spans="2:9" x14ac:dyDescent="0.25">
      <c r="B10" s="16">
        <v>0.41666666666666669</v>
      </c>
      <c r="C10" s="40" t="s">
        <v>65</v>
      </c>
      <c r="D10" s="40" t="s">
        <v>210</v>
      </c>
      <c r="G10" s="40" t="s">
        <v>66</v>
      </c>
      <c r="H10" s="14"/>
      <c r="I10" s="14"/>
    </row>
    <row r="11" spans="2:9" x14ac:dyDescent="0.25">
      <c r="B11" s="15"/>
      <c r="C11" s="40" t="s">
        <v>46</v>
      </c>
      <c r="D11" s="3"/>
      <c r="G11" s="40" t="s">
        <v>47</v>
      </c>
      <c r="H11" s="14"/>
      <c r="I11" s="14"/>
    </row>
    <row r="12" spans="2:9" x14ac:dyDescent="0.25">
      <c r="B12" s="16">
        <v>0.45833333333333331</v>
      </c>
      <c r="C12" s="3"/>
      <c r="E12" s="11" t="s">
        <v>5</v>
      </c>
      <c r="F12" s="5" t="s">
        <v>195</v>
      </c>
      <c r="G12" s="3"/>
      <c r="H12" s="14"/>
      <c r="I12" s="14"/>
    </row>
    <row r="13" spans="2:9" x14ac:dyDescent="0.25">
      <c r="B13" s="15"/>
      <c r="C13" s="3"/>
      <c r="E13" s="12">
        <v>115</v>
      </c>
      <c r="F13" s="6" t="s">
        <v>196</v>
      </c>
      <c r="G13" s="3"/>
      <c r="H13" s="14"/>
      <c r="I13" s="14"/>
    </row>
    <row r="14" spans="2:9" x14ac:dyDescent="0.25">
      <c r="B14" s="16">
        <v>0.5</v>
      </c>
      <c r="C14" s="3"/>
      <c r="E14" s="10"/>
      <c r="F14" s="3"/>
      <c r="G14" s="3"/>
      <c r="H14" s="14"/>
      <c r="I14" s="14"/>
    </row>
    <row r="15" spans="2:9" x14ac:dyDescent="0.25">
      <c r="B15" s="15"/>
      <c r="C15" s="3"/>
      <c r="E15" s="10"/>
      <c r="F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E18" s="5" t="s">
        <v>7</v>
      </c>
      <c r="G18" s="5" t="s">
        <v>6</v>
      </c>
      <c r="H18" s="14"/>
      <c r="I18" s="14"/>
    </row>
    <row r="19" spans="2:9" x14ac:dyDescent="0.25">
      <c r="B19" s="15"/>
      <c r="C19" s="4">
        <v>204</v>
      </c>
      <c r="E19" s="4">
        <v>309</v>
      </c>
      <c r="G19" s="4">
        <v>204</v>
      </c>
      <c r="H19" s="14"/>
      <c r="I19" s="14"/>
    </row>
    <row r="20" spans="2:9" x14ac:dyDescent="0.25">
      <c r="B20" s="16">
        <v>0.625</v>
      </c>
      <c r="C20" s="40" t="s">
        <v>44</v>
      </c>
      <c r="E20" s="3"/>
      <c r="G20" s="3"/>
      <c r="H20" s="14"/>
      <c r="I20" s="14"/>
    </row>
    <row r="21" spans="2:9" x14ac:dyDescent="0.25">
      <c r="B21" s="15"/>
      <c r="C21" s="3"/>
      <c r="E21" s="3"/>
      <c r="G21" s="3"/>
      <c r="H21" s="14"/>
      <c r="I21" s="14"/>
    </row>
    <row r="22" spans="2:9" x14ac:dyDescent="0.25">
      <c r="B22" s="16">
        <v>0.66666666666666663</v>
      </c>
      <c r="C22" s="3"/>
      <c r="E22" s="5" t="s">
        <v>9</v>
      </c>
      <c r="G22" s="3"/>
      <c r="H22" s="14"/>
      <c r="I22" s="14"/>
    </row>
    <row r="23" spans="2:9" x14ac:dyDescent="0.25">
      <c r="B23" s="15"/>
      <c r="C23" s="3"/>
      <c r="E23" s="6" t="s">
        <v>10</v>
      </c>
      <c r="G23" s="3"/>
      <c r="H23" s="14"/>
      <c r="I23" s="14"/>
    </row>
    <row r="24" spans="2:9" x14ac:dyDescent="0.25">
      <c r="B24" s="16">
        <v>0.70833333333333337</v>
      </c>
      <c r="C24" s="3"/>
      <c r="E24" s="3"/>
      <c r="G24" s="3"/>
      <c r="H24" s="14"/>
      <c r="I24" s="14"/>
    </row>
    <row r="25" spans="2:9" x14ac:dyDescent="0.25">
      <c r="B25" s="15"/>
      <c r="C25" s="3"/>
      <c r="E25" s="3"/>
      <c r="G25" s="3"/>
      <c r="H25" s="14"/>
      <c r="I25" s="14"/>
    </row>
    <row r="26" spans="2:9" x14ac:dyDescent="0.25">
      <c r="B26" s="16">
        <v>0.75</v>
      </c>
      <c r="H26" s="14"/>
      <c r="I26" s="14"/>
    </row>
    <row r="27" spans="2:9" x14ac:dyDescent="0.25">
      <c r="B27" s="15"/>
      <c r="H27" s="14"/>
      <c r="I27" s="14"/>
    </row>
    <row r="29" spans="2:9" x14ac:dyDescent="0.25">
      <c r="B29" s="19" t="s">
        <v>21</v>
      </c>
      <c r="C29" s="30">
        <f>C5</f>
        <v>45978</v>
      </c>
      <c r="D29" s="30">
        <f t="shared" ref="D29:I29" si="1">D5</f>
        <v>45979</v>
      </c>
      <c r="E29" s="30">
        <f t="shared" si="1"/>
        <v>45980</v>
      </c>
      <c r="F29" s="30">
        <f t="shared" si="1"/>
        <v>45981</v>
      </c>
      <c r="G29" s="30">
        <f t="shared" si="1"/>
        <v>45982</v>
      </c>
      <c r="H29" s="30">
        <f t="shared" si="1"/>
        <v>45983</v>
      </c>
      <c r="I29" s="30">
        <f t="shared" si="1"/>
        <v>45984</v>
      </c>
    </row>
    <row r="30" spans="2:9" ht="45" x14ac:dyDescent="0.25">
      <c r="B30" s="33"/>
      <c r="C30" s="43" t="s">
        <v>127</v>
      </c>
      <c r="D30" s="39"/>
      <c r="E30" s="43" t="s">
        <v>181</v>
      </c>
      <c r="F30" s="43" t="s">
        <v>203</v>
      </c>
      <c r="G30" s="39" t="s">
        <v>192</v>
      </c>
      <c r="H30" s="39" t="s">
        <v>212</v>
      </c>
      <c r="I30" s="39" t="s">
        <v>219</v>
      </c>
    </row>
    <row r="31" spans="2:9" ht="60" x14ac:dyDescent="0.25">
      <c r="B31" s="33"/>
      <c r="C31" s="43" t="s">
        <v>201</v>
      </c>
      <c r="D31" s="39"/>
      <c r="E31" s="43" t="s">
        <v>183</v>
      </c>
      <c r="F31" s="43" t="s">
        <v>191</v>
      </c>
      <c r="G31" s="39" t="s">
        <v>216</v>
      </c>
      <c r="H31" s="39" t="s">
        <v>215</v>
      </c>
      <c r="I31" s="39" t="s">
        <v>222</v>
      </c>
    </row>
    <row r="32" spans="2:9" x14ac:dyDescent="0.25">
      <c r="B32" s="33"/>
      <c r="C32" s="33"/>
      <c r="D32" s="33"/>
      <c r="E32" s="43" t="s">
        <v>202</v>
      </c>
      <c r="F32" s="43" t="s">
        <v>211</v>
      </c>
      <c r="G32" s="39" t="s">
        <v>219</v>
      </c>
      <c r="H32" s="39" t="s">
        <v>219</v>
      </c>
      <c r="I32" s="33"/>
    </row>
    <row r="33" spans="2:9" ht="45" x14ac:dyDescent="0.25">
      <c r="B33" s="33"/>
      <c r="C33" s="33"/>
      <c r="D33" s="33"/>
      <c r="E33" s="33"/>
      <c r="F33" s="43" t="s">
        <v>223</v>
      </c>
      <c r="G33" s="39" t="s">
        <v>228</v>
      </c>
      <c r="H33" s="33"/>
      <c r="I33" s="33"/>
    </row>
    <row r="34" spans="2:9" ht="45" x14ac:dyDescent="0.25">
      <c r="B34" s="33"/>
      <c r="C34" s="33"/>
      <c r="D34" s="33"/>
      <c r="E34" s="33"/>
      <c r="F34" s="33"/>
      <c r="G34" s="39" t="s">
        <v>229</v>
      </c>
      <c r="H34" s="33"/>
      <c r="I34" s="33"/>
    </row>
    <row r="35" spans="2:9" x14ac:dyDescent="0.25">
      <c r="B35" s="33"/>
      <c r="C35" s="33"/>
      <c r="D35" s="33"/>
      <c r="E35" s="33"/>
      <c r="F35" s="33"/>
      <c r="G35" s="39" t="s">
        <v>234</v>
      </c>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1" priority="1" timePeriod="today">
      <formula>FLOOR(C5,1)=TODAY()</formula>
    </cfRule>
  </conditionalFormatting>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0320-D433-4CAF-98BA-F1EA5CBCC8A0}">
  <dimension ref="B2:I46"/>
  <sheetViews>
    <sheetView topLeftCell="B1" zoomScale="76" zoomScaleNormal="70" workbookViewId="0">
      <selection activeCell="I32" sqref="I32"/>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10</v>
      </c>
      <c r="D3" s="24">
        <f>C3/Index!R3</f>
        <v>0.25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45985</v>
      </c>
      <c r="D5" s="26">
        <f>C5+1</f>
        <v>45986</v>
      </c>
      <c r="E5" s="26">
        <f t="shared" ref="E5:I5" si="0">D5+1</f>
        <v>45987</v>
      </c>
      <c r="F5" s="26">
        <f t="shared" si="0"/>
        <v>45988</v>
      </c>
      <c r="G5" s="26">
        <f t="shared" si="0"/>
        <v>45989</v>
      </c>
      <c r="H5" s="27">
        <f t="shared" si="0"/>
        <v>45990</v>
      </c>
      <c r="I5" s="27">
        <f t="shared" si="0"/>
        <v>45991</v>
      </c>
    </row>
    <row r="6" spans="2:9" x14ac:dyDescent="0.25">
      <c r="B6" s="16">
        <v>0.33333333333333331</v>
      </c>
      <c r="H6" s="14"/>
      <c r="I6" s="14"/>
    </row>
    <row r="7" spans="2:9" x14ac:dyDescent="0.25">
      <c r="B7" s="15"/>
      <c r="H7" s="14"/>
      <c r="I7" s="14"/>
    </row>
    <row r="8" spans="2:9" x14ac:dyDescent="0.25">
      <c r="B8" s="16">
        <v>0.375</v>
      </c>
      <c r="C8" s="5" t="s">
        <v>6</v>
      </c>
      <c r="D8" s="5" t="s">
        <v>193</v>
      </c>
      <c r="G8" s="5" t="s">
        <v>6</v>
      </c>
      <c r="H8" s="14"/>
      <c r="I8" s="14"/>
    </row>
    <row r="9" spans="2:9" x14ac:dyDescent="0.25">
      <c r="B9" s="15"/>
      <c r="C9" s="4">
        <v>204</v>
      </c>
      <c r="D9" s="6" t="s">
        <v>194</v>
      </c>
      <c r="G9" s="4">
        <v>204</v>
      </c>
      <c r="H9" s="14"/>
      <c r="I9" s="14"/>
    </row>
    <row r="10" spans="2:9" x14ac:dyDescent="0.25">
      <c r="B10" s="16">
        <v>0.41666666666666669</v>
      </c>
      <c r="C10" s="40" t="s">
        <v>46</v>
      </c>
      <c r="D10" s="40" t="s">
        <v>209</v>
      </c>
      <c r="G10" s="40" t="s">
        <v>45</v>
      </c>
      <c r="H10" s="14"/>
      <c r="I10" s="14"/>
    </row>
    <row r="11" spans="2:9" x14ac:dyDescent="0.25">
      <c r="B11" s="15"/>
      <c r="C11" s="40" t="s">
        <v>67</v>
      </c>
      <c r="D11" s="3"/>
      <c r="G11" s="40" t="s">
        <v>47</v>
      </c>
      <c r="H11" s="14"/>
      <c r="I11" s="14"/>
    </row>
    <row r="12" spans="2:9" x14ac:dyDescent="0.25">
      <c r="B12" s="16">
        <v>0.45833333333333331</v>
      </c>
      <c r="C12" s="3"/>
      <c r="E12" s="11" t="s">
        <v>5</v>
      </c>
      <c r="F12" s="5" t="s">
        <v>195</v>
      </c>
      <c r="G12" s="3"/>
      <c r="H12" s="14"/>
      <c r="I12" s="14"/>
    </row>
    <row r="13" spans="2:9" x14ac:dyDescent="0.25">
      <c r="B13" s="15"/>
      <c r="C13" s="3"/>
      <c r="E13" s="12">
        <v>115</v>
      </c>
      <c r="F13" s="6" t="s">
        <v>196</v>
      </c>
      <c r="G13" s="3"/>
      <c r="H13" s="14"/>
      <c r="I13" s="14"/>
    </row>
    <row r="14" spans="2:9" x14ac:dyDescent="0.25">
      <c r="B14" s="16">
        <v>0.5</v>
      </c>
      <c r="C14" s="3"/>
      <c r="E14" s="10"/>
      <c r="F14" s="3"/>
      <c r="G14" s="3"/>
      <c r="H14" s="14"/>
      <c r="I14" s="14"/>
    </row>
    <row r="15" spans="2:9" x14ac:dyDescent="0.25">
      <c r="B15" s="15"/>
      <c r="C15" s="3"/>
      <c r="E15" s="10"/>
      <c r="F15" s="3"/>
      <c r="G15" s="3"/>
      <c r="H15" s="14"/>
      <c r="I15" s="14"/>
    </row>
    <row r="16" spans="2:9" x14ac:dyDescent="0.25">
      <c r="B16" s="16">
        <v>0.54166666666666663</v>
      </c>
      <c r="E16" s="36" t="s">
        <v>241</v>
      </c>
      <c r="H16" s="14"/>
      <c r="I16" s="14"/>
    </row>
    <row r="17" spans="2:9" x14ac:dyDescent="0.25">
      <c r="B17" s="15"/>
      <c r="E17" s="37"/>
      <c r="H17" s="14"/>
      <c r="I17" s="14"/>
    </row>
    <row r="18" spans="2:9" x14ac:dyDescent="0.25">
      <c r="B18" s="16">
        <v>0.58333333333333337</v>
      </c>
      <c r="C18" s="36" t="s">
        <v>225</v>
      </c>
      <c r="D18" s="28" t="s">
        <v>2</v>
      </c>
      <c r="E18" s="37"/>
      <c r="F18" s="36" t="s">
        <v>255</v>
      </c>
      <c r="G18" s="5" t="s">
        <v>6</v>
      </c>
      <c r="H18" s="14"/>
      <c r="I18" s="14"/>
    </row>
    <row r="19" spans="2:9" x14ac:dyDescent="0.25">
      <c r="B19" s="15"/>
      <c r="C19" s="37" t="s">
        <v>226</v>
      </c>
      <c r="D19" s="38" t="s">
        <v>93</v>
      </c>
      <c r="E19" s="37"/>
      <c r="F19" s="37" t="s">
        <v>256</v>
      </c>
      <c r="G19" s="4">
        <v>204</v>
      </c>
      <c r="H19" s="14"/>
      <c r="I19" s="14"/>
    </row>
    <row r="20" spans="2:9" x14ac:dyDescent="0.25">
      <c r="B20" s="16">
        <v>0.625</v>
      </c>
      <c r="C20" s="37"/>
      <c r="D20" s="29" t="s">
        <v>119</v>
      </c>
      <c r="E20" s="37"/>
      <c r="F20" s="37"/>
      <c r="G20" s="3"/>
      <c r="H20" s="14"/>
      <c r="I20" s="14"/>
    </row>
    <row r="21" spans="2:9" x14ac:dyDescent="0.25">
      <c r="B21" s="15"/>
      <c r="C21" s="37"/>
      <c r="D21" s="28" t="s">
        <v>3</v>
      </c>
      <c r="E21" s="37"/>
      <c r="F21" s="37"/>
      <c r="G21" s="3"/>
      <c r="H21" s="14"/>
      <c r="I21" s="14"/>
    </row>
    <row r="22" spans="2:9" x14ac:dyDescent="0.25">
      <c r="B22" s="16">
        <v>0.66666666666666663</v>
      </c>
      <c r="C22" s="37"/>
      <c r="D22" s="29" t="s">
        <v>4</v>
      </c>
      <c r="E22" s="5" t="s">
        <v>9</v>
      </c>
      <c r="F22" s="37"/>
      <c r="G22" s="3"/>
      <c r="H22" s="14"/>
      <c r="I22" s="14"/>
    </row>
    <row r="23" spans="2:9" x14ac:dyDescent="0.25">
      <c r="B23" s="15"/>
      <c r="C23" s="37"/>
      <c r="D23" s="29"/>
      <c r="E23" s="6" t="s">
        <v>10</v>
      </c>
      <c r="F23" s="37"/>
      <c r="G23" s="3"/>
      <c r="H23" s="14"/>
      <c r="I23" s="14"/>
    </row>
    <row r="24" spans="2:9" x14ac:dyDescent="0.25">
      <c r="B24" s="16">
        <v>0.70833333333333337</v>
      </c>
      <c r="C24" s="37"/>
      <c r="D24" s="29"/>
      <c r="E24" s="3"/>
      <c r="F24" s="37"/>
      <c r="G24" s="3"/>
      <c r="H24" s="14"/>
      <c r="I24" s="14"/>
    </row>
    <row r="25" spans="2:9" x14ac:dyDescent="0.25">
      <c r="B25" s="15"/>
      <c r="C25" s="37"/>
      <c r="D25" s="29"/>
      <c r="E25" s="3"/>
      <c r="F25" s="37"/>
      <c r="G25" s="3"/>
      <c r="H25" s="14"/>
      <c r="I25" s="14"/>
    </row>
    <row r="26" spans="2:9" x14ac:dyDescent="0.25">
      <c r="B26" s="16">
        <v>0.75</v>
      </c>
      <c r="E26" s="36" t="s">
        <v>235</v>
      </c>
      <c r="H26" s="14"/>
      <c r="I26" s="14"/>
    </row>
    <row r="27" spans="2:9" x14ac:dyDescent="0.25">
      <c r="B27" s="15"/>
      <c r="E27" s="37"/>
      <c r="H27" s="14"/>
      <c r="I27" s="14"/>
    </row>
    <row r="28" spans="2:9" x14ac:dyDescent="0.25">
      <c r="E28" s="37"/>
    </row>
    <row r="29" spans="2:9" x14ac:dyDescent="0.25">
      <c r="B29" s="19" t="s">
        <v>21</v>
      </c>
      <c r="C29" s="30">
        <f>C5</f>
        <v>45985</v>
      </c>
      <c r="D29" s="30">
        <f t="shared" ref="D29:I29" si="1">D5</f>
        <v>45986</v>
      </c>
      <c r="E29" s="30">
        <f t="shared" si="1"/>
        <v>45987</v>
      </c>
      <c r="F29" s="30">
        <f t="shared" si="1"/>
        <v>45988</v>
      </c>
      <c r="G29" s="30">
        <f t="shared" si="1"/>
        <v>45989</v>
      </c>
      <c r="H29" s="30">
        <f t="shared" si="1"/>
        <v>45990</v>
      </c>
      <c r="I29" s="30">
        <f t="shared" si="1"/>
        <v>45991</v>
      </c>
    </row>
    <row r="30" spans="2:9" ht="30" x14ac:dyDescent="0.25">
      <c r="B30" s="33"/>
      <c r="C30" s="43" t="s">
        <v>199</v>
      </c>
      <c r="D30" s="43" t="s">
        <v>204</v>
      </c>
      <c r="E30" s="43" t="s">
        <v>124</v>
      </c>
      <c r="F30" s="39" t="s">
        <v>219</v>
      </c>
      <c r="G30" s="39" t="s">
        <v>219</v>
      </c>
      <c r="H30" s="39" t="s">
        <v>220</v>
      </c>
      <c r="I30" s="39" t="s">
        <v>221</v>
      </c>
    </row>
    <row r="31" spans="2:9" ht="45" x14ac:dyDescent="0.25">
      <c r="B31" s="33"/>
      <c r="C31" s="43" t="s">
        <v>217</v>
      </c>
      <c r="D31" s="43" t="s">
        <v>205</v>
      </c>
      <c r="E31" s="43" t="s">
        <v>190</v>
      </c>
      <c r="F31" s="39" t="s">
        <v>238</v>
      </c>
      <c r="G31" s="39" t="s">
        <v>231</v>
      </c>
      <c r="H31" s="39" t="s">
        <v>245</v>
      </c>
      <c r="I31" s="39" t="s">
        <v>237</v>
      </c>
    </row>
    <row r="32" spans="2:9" ht="30" x14ac:dyDescent="0.25">
      <c r="B32" s="33"/>
      <c r="C32" s="39" t="s">
        <v>219</v>
      </c>
      <c r="D32" s="43" t="s">
        <v>218</v>
      </c>
      <c r="E32" s="43" t="s">
        <v>236</v>
      </c>
      <c r="F32" s="43" t="s">
        <v>257</v>
      </c>
      <c r="G32" s="39" t="s">
        <v>260</v>
      </c>
      <c r="H32" s="39"/>
      <c r="I32" s="39" t="s">
        <v>254</v>
      </c>
    </row>
    <row r="33" spans="2:9" ht="45" x14ac:dyDescent="0.25">
      <c r="B33" s="33"/>
      <c r="C33" s="43" t="s">
        <v>227</v>
      </c>
      <c r="D33" s="43" t="s">
        <v>219</v>
      </c>
      <c r="E33" s="33" t="s">
        <v>230</v>
      </c>
      <c r="F33" s="33"/>
      <c r="G33" s="39" t="s">
        <v>259</v>
      </c>
      <c r="H33" s="33"/>
      <c r="I33" s="33"/>
    </row>
    <row r="34" spans="2:9" ht="45" x14ac:dyDescent="0.25">
      <c r="B34" s="33"/>
      <c r="C34" s="33" t="s">
        <v>200</v>
      </c>
      <c r="D34" s="43" t="s">
        <v>242</v>
      </c>
      <c r="E34" s="43" t="s">
        <v>239</v>
      </c>
      <c r="F34" s="33"/>
      <c r="G34" s="33"/>
      <c r="H34" s="33"/>
      <c r="I34" s="33"/>
    </row>
    <row r="35" spans="2:9" ht="30" x14ac:dyDescent="0.25">
      <c r="B35" s="33"/>
      <c r="C35" s="39" t="s">
        <v>243</v>
      </c>
      <c r="D35" s="33"/>
      <c r="E35" s="43" t="s">
        <v>240</v>
      </c>
      <c r="F35" s="33"/>
      <c r="G35" s="33"/>
      <c r="H35" s="33"/>
      <c r="I35" s="33"/>
    </row>
    <row r="36" spans="2:9" x14ac:dyDescent="0.25">
      <c r="B36" s="33"/>
      <c r="C36" s="39" t="s">
        <v>244</v>
      </c>
      <c r="D36" s="33"/>
      <c r="E36" s="43" t="s">
        <v>248</v>
      </c>
      <c r="F36" s="33"/>
      <c r="G36" s="33"/>
      <c r="H36" s="33"/>
      <c r="I36" s="33"/>
    </row>
    <row r="37" spans="2:9" ht="45" x14ac:dyDescent="0.25">
      <c r="B37" s="33"/>
      <c r="C37" s="39" t="s">
        <v>229</v>
      </c>
      <c r="D37" s="33"/>
      <c r="E37" s="33"/>
      <c r="F37" s="33"/>
      <c r="G37" s="33"/>
      <c r="H37" s="33"/>
      <c r="I37" s="33"/>
    </row>
    <row r="38" spans="2:9" x14ac:dyDescent="0.25">
      <c r="B38" s="33"/>
      <c r="C38" s="39" t="s">
        <v>246</v>
      </c>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30" priority="1" timePeriod="today">
      <formula>FLOOR(C5,1)=TODAY()</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D567-9F12-4997-8D76-BE3FC82557ED}">
  <dimension ref="B2:I46"/>
  <sheetViews>
    <sheetView zoomScale="85" zoomScaleNormal="85" workbookViewId="0">
      <selection activeCell="D16" sqref="D16"/>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11</v>
      </c>
      <c r="D3" s="24">
        <f>C3/Index!R3</f>
        <v>0.27500000000000002</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45992</v>
      </c>
      <c r="D5" s="26">
        <f>C5+1</f>
        <v>45993</v>
      </c>
      <c r="E5" s="26">
        <f t="shared" ref="E5:I5" si="0">D5+1</f>
        <v>45994</v>
      </c>
      <c r="F5" s="26">
        <f t="shared" si="0"/>
        <v>45995</v>
      </c>
      <c r="G5" s="26">
        <f t="shared" si="0"/>
        <v>45996</v>
      </c>
      <c r="H5" s="27">
        <f t="shared" si="0"/>
        <v>45997</v>
      </c>
      <c r="I5" s="27">
        <f t="shared" si="0"/>
        <v>45998</v>
      </c>
    </row>
    <row r="6" spans="2:9" x14ac:dyDescent="0.25">
      <c r="B6" s="16">
        <v>0.33333333333333331</v>
      </c>
      <c r="H6" s="14"/>
      <c r="I6" s="14"/>
    </row>
    <row r="7" spans="2:9" x14ac:dyDescent="0.25">
      <c r="B7" s="15"/>
      <c r="G7" s="5" t="s">
        <v>6</v>
      </c>
      <c r="H7" s="14"/>
      <c r="I7" s="14"/>
    </row>
    <row r="8" spans="2:9" x14ac:dyDescent="0.25">
      <c r="B8" s="16">
        <v>0.375</v>
      </c>
      <c r="C8" s="5" t="s">
        <v>6</v>
      </c>
      <c r="D8" s="5" t="s">
        <v>193</v>
      </c>
      <c r="G8" s="4">
        <v>204</v>
      </c>
      <c r="H8" s="14"/>
      <c r="I8" s="14"/>
    </row>
    <row r="9" spans="2:9" x14ac:dyDescent="0.25">
      <c r="B9" s="15"/>
      <c r="C9" s="4">
        <v>204</v>
      </c>
      <c r="D9" s="6" t="s">
        <v>194</v>
      </c>
      <c r="G9" s="40" t="s">
        <v>68</v>
      </c>
      <c r="H9" s="14"/>
      <c r="I9" s="14"/>
    </row>
    <row r="10" spans="2:9" x14ac:dyDescent="0.25">
      <c r="B10" s="16">
        <v>0.41666666666666669</v>
      </c>
      <c r="C10" s="40" t="s">
        <v>46</v>
      </c>
      <c r="D10" s="40" t="s">
        <v>208</v>
      </c>
      <c r="G10" s="40" t="s">
        <v>45</v>
      </c>
      <c r="H10" s="14"/>
      <c r="I10" s="14"/>
    </row>
    <row r="11" spans="2:9" x14ac:dyDescent="0.25">
      <c r="B11" s="15"/>
      <c r="C11" s="40" t="s">
        <v>65</v>
      </c>
      <c r="D11" s="3"/>
      <c r="G11" s="3"/>
      <c r="H11" s="14"/>
      <c r="I11" s="14"/>
    </row>
    <row r="12" spans="2:9" x14ac:dyDescent="0.25">
      <c r="B12" s="16">
        <v>0.45833333333333331</v>
      </c>
      <c r="C12" s="3"/>
      <c r="E12" s="11" t="s">
        <v>5</v>
      </c>
      <c r="F12" s="5" t="s">
        <v>195</v>
      </c>
      <c r="G12" s="3"/>
      <c r="H12" s="14"/>
      <c r="I12" s="14"/>
    </row>
    <row r="13" spans="2:9" x14ac:dyDescent="0.25">
      <c r="B13" s="15"/>
      <c r="C13" s="3"/>
      <c r="E13" s="12">
        <v>115</v>
      </c>
      <c r="F13" s="6" t="s">
        <v>196</v>
      </c>
      <c r="G13" s="3"/>
      <c r="H13" s="14"/>
      <c r="I13" s="14"/>
    </row>
    <row r="14" spans="2:9" x14ac:dyDescent="0.25">
      <c r="B14" s="16">
        <v>0.5</v>
      </c>
      <c r="C14" s="3"/>
      <c r="E14" s="10"/>
      <c r="F14" s="3"/>
      <c r="G14" s="3"/>
      <c r="H14" s="14"/>
      <c r="I14" s="14"/>
    </row>
    <row r="15" spans="2:9" x14ac:dyDescent="0.25">
      <c r="B15" s="15"/>
      <c r="C15" s="3"/>
      <c r="E15" s="10"/>
      <c r="F15" s="3"/>
      <c r="G15" s="3"/>
      <c r="H15" s="14"/>
      <c r="I15" s="14"/>
    </row>
    <row r="16" spans="2:9" x14ac:dyDescent="0.25">
      <c r="B16" s="16">
        <v>0.54166666666666663</v>
      </c>
      <c r="D16" s="36" t="s">
        <v>214</v>
      </c>
      <c r="F16" s="36" t="s">
        <v>273</v>
      </c>
      <c r="H16" s="14"/>
      <c r="I16" s="14"/>
    </row>
    <row r="17" spans="2:9" x14ac:dyDescent="0.25">
      <c r="B17" s="15"/>
      <c r="D17" s="37" t="s">
        <v>1</v>
      </c>
      <c r="F17" s="37"/>
      <c r="H17" s="14"/>
      <c r="I17" s="14"/>
    </row>
    <row r="18" spans="2:9" x14ac:dyDescent="0.25">
      <c r="B18" s="16">
        <v>0.58333333333333337</v>
      </c>
      <c r="C18" s="5" t="s">
        <v>6</v>
      </c>
      <c r="D18" s="37"/>
      <c r="E18" s="5" t="s">
        <v>7</v>
      </c>
      <c r="F18" s="37"/>
      <c r="G18" s="5" t="s">
        <v>6</v>
      </c>
      <c r="H18" s="14"/>
      <c r="I18" s="14"/>
    </row>
    <row r="19" spans="2:9" x14ac:dyDescent="0.25">
      <c r="B19" s="15"/>
      <c r="C19" s="4">
        <v>204</v>
      </c>
      <c r="D19" s="37"/>
      <c r="E19" s="4">
        <v>309</v>
      </c>
      <c r="F19" s="37"/>
      <c r="G19" s="4">
        <v>204</v>
      </c>
      <c r="H19" s="14"/>
      <c r="I19" s="14"/>
    </row>
    <row r="20" spans="2:9" x14ac:dyDescent="0.25">
      <c r="B20" s="16">
        <v>0.625</v>
      </c>
      <c r="C20" s="40" t="s">
        <v>44</v>
      </c>
      <c r="D20" s="37"/>
      <c r="E20" s="3"/>
      <c r="F20" s="37"/>
      <c r="G20" s="3"/>
      <c r="H20" s="14"/>
      <c r="I20" s="14"/>
    </row>
    <row r="21" spans="2:9" x14ac:dyDescent="0.25">
      <c r="B21" s="15"/>
      <c r="C21" s="3"/>
      <c r="D21" s="37"/>
      <c r="E21" s="3"/>
      <c r="F21" s="37"/>
      <c r="G21" s="3"/>
      <c r="H21" s="14"/>
      <c r="I21" s="14"/>
    </row>
    <row r="22" spans="2:9" x14ac:dyDescent="0.25">
      <c r="B22" s="16">
        <v>0.66666666666666663</v>
      </c>
      <c r="C22" s="3"/>
      <c r="E22" s="5" t="s">
        <v>9</v>
      </c>
      <c r="G22" s="3"/>
      <c r="H22" s="14"/>
      <c r="I22" s="14"/>
    </row>
    <row r="23" spans="2:9" x14ac:dyDescent="0.25">
      <c r="B23" s="15"/>
      <c r="C23" s="3"/>
      <c r="E23" s="6" t="s">
        <v>10</v>
      </c>
      <c r="G23" s="3"/>
      <c r="H23" s="14"/>
      <c r="I23" s="14"/>
    </row>
    <row r="24" spans="2:9" x14ac:dyDescent="0.25">
      <c r="B24" s="16">
        <v>0.70833333333333337</v>
      </c>
      <c r="C24" s="3"/>
      <c r="E24" s="3"/>
      <c r="G24" s="3"/>
      <c r="H24" s="14"/>
      <c r="I24" s="14"/>
    </row>
    <row r="25" spans="2:9" x14ac:dyDescent="0.25">
      <c r="B25" s="15"/>
      <c r="C25" s="3"/>
      <c r="E25" s="3"/>
      <c r="G25" s="3"/>
      <c r="H25" s="14"/>
      <c r="I25" s="14"/>
    </row>
    <row r="26" spans="2:9" x14ac:dyDescent="0.25">
      <c r="B26" s="16">
        <v>0.75</v>
      </c>
      <c r="H26" s="14"/>
      <c r="I26" s="14"/>
    </row>
    <row r="27" spans="2:9" x14ac:dyDescent="0.25">
      <c r="B27" s="15"/>
      <c r="H27" s="14"/>
      <c r="I27" s="14"/>
    </row>
    <row r="29" spans="2:9" x14ac:dyDescent="0.25">
      <c r="B29" s="19" t="s">
        <v>21</v>
      </c>
      <c r="C29" s="30">
        <f>C5</f>
        <v>45992</v>
      </c>
      <c r="D29" s="30">
        <f t="shared" ref="D29:I29" si="1">D5</f>
        <v>45993</v>
      </c>
      <c r="E29" s="30">
        <f t="shared" si="1"/>
        <v>45994</v>
      </c>
      <c r="F29" s="30">
        <f t="shared" si="1"/>
        <v>45995</v>
      </c>
      <c r="G29" s="30">
        <f t="shared" si="1"/>
        <v>45996</v>
      </c>
      <c r="H29" s="30">
        <f t="shared" si="1"/>
        <v>45997</v>
      </c>
      <c r="I29" s="30">
        <f t="shared" si="1"/>
        <v>45998</v>
      </c>
    </row>
    <row r="30" spans="2:9" ht="30" x14ac:dyDescent="0.25">
      <c r="B30" s="33"/>
      <c r="C30" s="43" t="s">
        <v>150</v>
      </c>
      <c r="D30" s="39" t="s">
        <v>205</v>
      </c>
      <c r="E30" s="39" t="s">
        <v>124</v>
      </c>
      <c r="F30" s="39" t="s">
        <v>262</v>
      </c>
      <c r="G30" s="39" t="s">
        <v>264</v>
      </c>
      <c r="H30" s="39" t="s">
        <v>262</v>
      </c>
      <c r="I30" s="33" t="s">
        <v>151</v>
      </c>
    </row>
    <row r="31" spans="2:9" ht="120" x14ac:dyDescent="0.25">
      <c r="B31" s="33"/>
      <c r="C31" s="39" t="s">
        <v>232</v>
      </c>
      <c r="D31" s="43" t="s">
        <v>213</v>
      </c>
      <c r="E31" s="33" t="s">
        <v>270</v>
      </c>
      <c r="F31" s="39" t="s">
        <v>247</v>
      </c>
      <c r="G31" s="39" t="s">
        <v>268</v>
      </c>
      <c r="H31" s="39" t="s">
        <v>274</v>
      </c>
      <c r="I31" s="39" t="s">
        <v>250</v>
      </c>
    </row>
    <row r="32" spans="2:9" ht="30" x14ac:dyDescent="0.25">
      <c r="B32" s="33"/>
      <c r="C32" s="39" t="s">
        <v>249</v>
      </c>
      <c r="D32" s="39" t="s">
        <v>258</v>
      </c>
      <c r="E32" s="33"/>
      <c r="F32" s="33"/>
      <c r="G32" s="39" t="s">
        <v>276</v>
      </c>
      <c r="H32" s="39" t="s">
        <v>275</v>
      </c>
      <c r="I32" s="33"/>
    </row>
    <row r="33" spans="2:9" ht="120" x14ac:dyDescent="0.25">
      <c r="B33" s="33"/>
      <c r="C33" s="43" t="s">
        <v>269</v>
      </c>
      <c r="D33" s="39" t="s">
        <v>263</v>
      </c>
      <c r="E33" s="33"/>
      <c r="F33" s="33"/>
      <c r="G33" s="33"/>
      <c r="H33" s="33"/>
      <c r="I33" s="33"/>
    </row>
    <row r="34" spans="2:9" x14ac:dyDescent="0.25">
      <c r="B34" s="33"/>
      <c r="C34" s="33"/>
      <c r="D34" s="33"/>
      <c r="E34" s="33"/>
      <c r="F34" s="39"/>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9" priority="1" timePeriod="today">
      <formula>FLOOR(C5,1)=TODAY()</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DD4B-5510-45F0-8D68-5B38030BE4EE}">
  <dimension ref="B2:I46"/>
  <sheetViews>
    <sheetView topLeftCell="B1" zoomScale="102" zoomScaleNormal="70" workbookViewId="0">
      <selection activeCell="E19" sqref="E19"/>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12</v>
      </c>
      <c r="D3" s="24">
        <f>C3/Index!R3</f>
        <v>0.3</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45999</v>
      </c>
      <c r="D5" s="26">
        <f>C5+1</f>
        <v>46000</v>
      </c>
      <c r="E5" s="26">
        <f t="shared" ref="E5:I5" si="0">D5+1</f>
        <v>46001</v>
      </c>
      <c r="F5" s="26">
        <f t="shared" si="0"/>
        <v>46002</v>
      </c>
      <c r="G5" s="26">
        <f t="shared" si="0"/>
        <v>46003</v>
      </c>
      <c r="H5" s="27">
        <f t="shared" si="0"/>
        <v>46004</v>
      </c>
      <c r="I5" s="27">
        <f t="shared" si="0"/>
        <v>46005</v>
      </c>
    </row>
    <row r="6" spans="2:9" x14ac:dyDescent="0.25">
      <c r="B6" s="16">
        <v>0.33333333333333331</v>
      </c>
      <c r="H6" s="14"/>
      <c r="I6" s="14"/>
    </row>
    <row r="7" spans="2:9" x14ac:dyDescent="0.25">
      <c r="B7" s="15"/>
      <c r="H7" s="14"/>
      <c r="I7" s="14"/>
    </row>
    <row r="8" spans="2:9" x14ac:dyDescent="0.25">
      <c r="B8" s="16">
        <v>0.375</v>
      </c>
      <c r="C8" s="5" t="s">
        <v>6</v>
      </c>
      <c r="D8" s="5" t="s">
        <v>193</v>
      </c>
      <c r="G8" s="5" t="s">
        <v>6</v>
      </c>
      <c r="H8" s="14"/>
      <c r="I8" s="14"/>
    </row>
    <row r="9" spans="2:9" x14ac:dyDescent="0.25">
      <c r="B9" s="15"/>
      <c r="C9" s="4">
        <v>204</v>
      </c>
      <c r="D9" s="6" t="s">
        <v>194</v>
      </c>
      <c r="G9" s="4">
        <v>204</v>
      </c>
      <c r="H9" s="14"/>
      <c r="I9" s="14"/>
    </row>
    <row r="10" spans="2:9" x14ac:dyDescent="0.25">
      <c r="B10" s="16">
        <v>0.41666666666666669</v>
      </c>
      <c r="C10" s="40" t="s">
        <v>46</v>
      </c>
      <c r="D10" s="40" t="s">
        <v>207</v>
      </c>
      <c r="G10" s="40" t="s">
        <v>45</v>
      </c>
      <c r="H10" s="14"/>
      <c r="I10" s="14"/>
    </row>
    <row r="11" spans="2:9" x14ac:dyDescent="0.25">
      <c r="B11" s="15"/>
      <c r="C11" s="40" t="s">
        <v>69</v>
      </c>
      <c r="D11" s="3"/>
      <c r="G11" s="40" t="s">
        <v>47</v>
      </c>
      <c r="H11" s="14"/>
      <c r="I11" s="14"/>
    </row>
    <row r="12" spans="2:9" x14ac:dyDescent="0.25">
      <c r="B12" s="16">
        <v>0.45833333333333331</v>
      </c>
      <c r="C12" s="3"/>
      <c r="E12" s="11" t="s">
        <v>5</v>
      </c>
      <c r="F12" s="5" t="s">
        <v>195</v>
      </c>
      <c r="G12" s="3"/>
      <c r="H12" s="14"/>
      <c r="I12" s="14"/>
    </row>
    <row r="13" spans="2:9" x14ac:dyDescent="0.25">
      <c r="B13" s="15"/>
      <c r="C13" s="3"/>
      <c r="E13" s="12">
        <v>115</v>
      </c>
      <c r="F13" s="6" t="s">
        <v>196</v>
      </c>
      <c r="G13" s="3"/>
      <c r="H13" s="14"/>
      <c r="I13" s="14"/>
    </row>
    <row r="14" spans="2:9" x14ac:dyDescent="0.25">
      <c r="B14" s="16">
        <v>0.5</v>
      </c>
      <c r="C14" s="3"/>
      <c r="E14" s="10"/>
      <c r="F14" s="3"/>
      <c r="G14" s="3"/>
      <c r="H14" s="14"/>
      <c r="I14" s="14"/>
    </row>
    <row r="15" spans="2:9" x14ac:dyDescent="0.25">
      <c r="B15" s="15"/>
      <c r="C15" s="3"/>
      <c r="E15" s="10"/>
      <c r="F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D18" s="28" t="s">
        <v>2</v>
      </c>
      <c r="G18" s="5" t="s">
        <v>6</v>
      </c>
      <c r="H18" s="14"/>
      <c r="I18" s="14"/>
    </row>
    <row r="19" spans="2:9" x14ac:dyDescent="0.25">
      <c r="B19" s="15"/>
      <c r="C19" s="4">
        <v>204</v>
      </c>
      <c r="D19" s="38">
        <v>115</v>
      </c>
      <c r="G19" s="4">
        <v>204</v>
      </c>
      <c r="H19" s="14"/>
      <c r="I19" s="14"/>
    </row>
    <row r="20" spans="2:9" x14ac:dyDescent="0.25">
      <c r="B20" s="16">
        <v>0.625</v>
      </c>
      <c r="C20" s="40" t="s">
        <v>44</v>
      </c>
      <c r="D20" s="29" t="s">
        <v>286</v>
      </c>
      <c r="G20" s="3"/>
      <c r="H20" s="14"/>
      <c r="I20" s="14"/>
    </row>
    <row r="21" spans="2:9" x14ac:dyDescent="0.25">
      <c r="B21" s="15"/>
      <c r="C21" s="3"/>
      <c r="D21" s="38"/>
      <c r="G21" s="3"/>
      <c r="H21" s="14"/>
      <c r="I21" s="14"/>
    </row>
    <row r="22" spans="2:9" x14ac:dyDescent="0.25">
      <c r="B22" s="16">
        <v>0.66666666666666663</v>
      </c>
      <c r="C22" s="3"/>
      <c r="D22" s="38"/>
      <c r="E22" s="5" t="s">
        <v>9</v>
      </c>
      <c r="G22" s="3"/>
      <c r="H22" s="14"/>
      <c r="I22" s="14"/>
    </row>
    <row r="23" spans="2:9" x14ac:dyDescent="0.25">
      <c r="B23" s="15"/>
      <c r="C23" s="3"/>
      <c r="D23" s="9" t="s">
        <v>3</v>
      </c>
      <c r="E23" s="6" t="s">
        <v>10</v>
      </c>
      <c r="G23" s="3"/>
      <c r="H23" s="14"/>
      <c r="I23" s="14"/>
    </row>
    <row r="24" spans="2:9" x14ac:dyDescent="0.25">
      <c r="B24" s="16">
        <v>0.70833333333333337</v>
      </c>
      <c r="C24" s="3"/>
      <c r="D24" s="8" t="s">
        <v>4</v>
      </c>
      <c r="E24" s="3"/>
      <c r="G24" s="3"/>
      <c r="H24" s="14"/>
      <c r="I24" s="14"/>
    </row>
    <row r="25" spans="2:9" x14ac:dyDescent="0.25">
      <c r="B25" s="15"/>
      <c r="C25" s="3"/>
      <c r="D25" s="49" t="s">
        <v>287</v>
      </c>
      <c r="E25" s="3"/>
      <c r="G25" s="3"/>
      <c r="H25" s="14"/>
      <c r="I25" s="14"/>
    </row>
    <row r="26" spans="2:9" x14ac:dyDescent="0.25">
      <c r="B26" s="16">
        <v>0.75</v>
      </c>
      <c r="H26" s="14"/>
      <c r="I26" s="14"/>
    </row>
    <row r="27" spans="2:9" x14ac:dyDescent="0.25">
      <c r="B27" s="15"/>
      <c r="H27" s="14"/>
      <c r="I27" s="14"/>
    </row>
    <row r="29" spans="2:9" x14ac:dyDescent="0.25">
      <c r="B29" s="19" t="s">
        <v>21</v>
      </c>
      <c r="C29" s="30">
        <f>C5</f>
        <v>45999</v>
      </c>
      <c r="D29" s="30">
        <f t="shared" ref="D29:I29" si="1">D5</f>
        <v>46000</v>
      </c>
      <c r="E29" s="30">
        <f t="shared" si="1"/>
        <v>46001</v>
      </c>
      <c r="F29" s="30">
        <f t="shared" si="1"/>
        <v>46002</v>
      </c>
      <c r="G29" s="30">
        <f t="shared" si="1"/>
        <v>46003</v>
      </c>
      <c r="H29" s="30">
        <f t="shared" si="1"/>
        <v>46004</v>
      </c>
      <c r="I29" s="30">
        <f t="shared" si="1"/>
        <v>46005</v>
      </c>
    </row>
    <row r="30" spans="2:9" ht="30" x14ac:dyDescent="0.25">
      <c r="B30" s="33"/>
      <c r="C30" s="39" t="s">
        <v>70</v>
      </c>
      <c r="D30" s="39" t="s">
        <v>120</v>
      </c>
      <c r="E30" s="39" t="s">
        <v>124</v>
      </c>
      <c r="F30" s="39" t="s">
        <v>294</v>
      </c>
      <c r="G30" s="39" t="s">
        <v>289</v>
      </c>
      <c r="H30" s="33"/>
      <c r="I30" s="33"/>
    </row>
    <row r="31" spans="2:9" ht="30" x14ac:dyDescent="0.25">
      <c r="B31" s="33"/>
      <c r="C31" s="39" t="s">
        <v>280</v>
      </c>
      <c r="D31" s="39" t="s">
        <v>205</v>
      </c>
      <c r="E31" s="39" t="s">
        <v>261</v>
      </c>
      <c r="F31" s="39" t="s">
        <v>295</v>
      </c>
      <c r="G31" s="33"/>
      <c r="H31" s="33"/>
      <c r="I31" s="33"/>
    </row>
    <row r="32" spans="2:9" ht="120" x14ac:dyDescent="0.25">
      <c r="B32" s="33"/>
      <c r="C32" s="39" t="s">
        <v>233</v>
      </c>
      <c r="D32" s="39" t="s">
        <v>253</v>
      </c>
      <c r="E32" s="39" t="s">
        <v>278</v>
      </c>
      <c r="F32" s="39" t="s">
        <v>309</v>
      </c>
      <c r="G32" s="33"/>
      <c r="H32" s="33"/>
      <c r="I32" s="33"/>
    </row>
    <row r="33" spans="2:9" ht="90" x14ac:dyDescent="0.25">
      <c r="B33" s="33"/>
      <c r="C33" s="39" t="s">
        <v>281</v>
      </c>
      <c r="D33" s="39" t="s">
        <v>282</v>
      </c>
      <c r="E33" s="33"/>
      <c r="F33" s="33"/>
      <c r="G33" s="33"/>
      <c r="H33" s="33"/>
      <c r="I33" s="33"/>
    </row>
    <row r="34" spans="2:9" x14ac:dyDescent="0.25">
      <c r="B34" s="33"/>
      <c r="C34" s="39" t="s">
        <v>271</v>
      </c>
      <c r="D34" s="39" t="s">
        <v>285</v>
      </c>
      <c r="E34" s="33"/>
      <c r="F34" s="33"/>
      <c r="G34" s="33"/>
      <c r="H34" s="33"/>
      <c r="I34" s="33"/>
    </row>
    <row r="35" spans="2:9" x14ac:dyDescent="0.25">
      <c r="B35" s="33"/>
      <c r="C35" s="39" t="s">
        <v>272</v>
      </c>
      <c r="D35" s="33"/>
      <c r="E35" s="33"/>
      <c r="F35" s="33"/>
      <c r="G35" s="33"/>
      <c r="H35" s="33"/>
      <c r="I35" s="33"/>
    </row>
    <row r="36" spans="2:9" ht="30" x14ac:dyDescent="0.25">
      <c r="B36" s="33"/>
      <c r="C36" s="39" t="s">
        <v>283</v>
      </c>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8" priority="1" timePeriod="today">
      <formula>FLOOR(C5,1)=TODAY()</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052F8-7614-49D7-8F06-5DD402FF1BAA}">
  <dimension ref="B2:I46"/>
  <sheetViews>
    <sheetView zoomScale="66" zoomScaleNormal="70" workbookViewId="0">
      <selection activeCell="C19" sqref="C19"/>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13</v>
      </c>
      <c r="D3" s="24">
        <f>C3/Index!R3</f>
        <v>0.32500000000000001</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46006</v>
      </c>
      <c r="D5" s="26">
        <f>C5+1</f>
        <v>46007</v>
      </c>
      <c r="E5" s="26">
        <f t="shared" ref="E5:I5" si="0">D5+1</f>
        <v>46008</v>
      </c>
      <c r="F5" s="26">
        <f t="shared" si="0"/>
        <v>46009</v>
      </c>
      <c r="G5" s="26">
        <f t="shared" si="0"/>
        <v>46010</v>
      </c>
      <c r="H5" s="27">
        <f t="shared" si="0"/>
        <v>46011</v>
      </c>
      <c r="I5" s="27">
        <f t="shared" si="0"/>
        <v>46012</v>
      </c>
    </row>
    <row r="6" spans="2:9" x14ac:dyDescent="0.25">
      <c r="B6" s="16">
        <v>0.33333333333333331</v>
      </c>
      <c r="H6" s="14"/>
      <c r="I6" s="14"/>
    </row>
    <row r="7" spans="2:9" x14ac:dyDescent="0.25">
      <c r="B7" s="15"/>
      <c r="H7" s="14"/>
      <c r="I7" s="14"/>
    </row>
    <row r="8" spans="2:9" x14ac:dyDescent="0.25">
      <c r="B8" s="16">
        <v>0.375</v>
      </c>
      <c r="C8" s="5" t="s">
        <v>6</v>
      </c>
      <c r="D8" s="5" t="s">
        <v>193</v>
      </c>
      <c r="E8" s="28" t="s">
        <v>306</v>
      </c>
      <c r="G8" s="5" t="s">
        <v>6</v>
      </c>
      <c r="H8" s="14"/>
      <c r="I8" s="14"/>
    </row>
    <row r="9" spans="2:9" x14ac:dyDescent="0.25">
      <c r="B9" s="15"/>
      <c r="C9" s="4">
        <v>204</v>
      </c>
      <c r="D9" s="6" t="s">
        <v>194</v>
      </c>
      <c r="E9" s="38">
        <v>111</v>
      </c>
      <c r="G9" s="4">
        <v>204</v>
      </c>
      <c r="H9" s="14"/>
      <c r="I9" s="14"/>
    </row>
    <row r="10" spans="2:9" x14ac:dyDescent="0.25">
      <c r="B10" s="16">
        <v>0.41666666666666669</v>
      </c>
      <c r="C10" s="40" t="s">
        <v>46</v>
      </c>
      <c r="D10" s="40" t="s">
        <v>206</v>
      </c>
      <c r="E10" s="29" t="s">
        <v>307</v>
      </c>
      <c r="G10" s="40" t="s">
        <v>45</v>
      </c>
      <c r="H10" s="14"/>
      <c r="I10" s="14"/>
    </row>
    <row r="11" spans="2:9" x14ac:dyDescent="0.25">
      <c r="B11" s="15"/>
      <c r="C11" s="40" t="s">
        <v>65</v>
      </c>
      <c r="D11" s="3"/>
      <c r="E11" s="29"/>
      <c r="G11" s="40" t="s">
        <v>47</v>
      </c>
      <c r="H11" s="14"/>
      <c r="I11" s="14"/>
    </row>
    <row r="12" spans="2:9" x14ac:dyDescent="0.25">
      <c r="B12" s="16">
        <v>0.45833333333333331</v>
      </c>
      <c r="C12" s="3"/>
      <c r="E12" s="11" t="s">
        <v>5</v>
      </c>
      <c r="F12" s="5" t="s">
        <v>195</v>
      </c>
      <c r="G12" s="3"/>
      <c r="H12" s="14"/>
      <c r="I12" s="14"/>
    </row>
    <row r="13" spans="2:9" x14ac:dyDescent="0.25">
      <c r="B13" s="15"/>
      <c r="C13" s="3"/>
      <c r="E13" s="12">
        <v>115</v>
      </c>
      <c r="F13" s="6" t="s">
        <v>196</v>
      </c>
      <c r="G13" s="3"/>
      <c r="H13" s="14"/>
      <c r="I13" s="14"/>
    </row>
    <row r="14" spans="2:9" x14ac:dyDescent="0.25">
      <c r="B14" s="16">
        <v>0.5</v>
      </c>
      <c r="C14" s="3"/>
      <c r="E14" s="10"/>
      <c r="F14" s="3"/>
      <c r="G14" s="3"/>
      <c r="H14" s="14"/>
      <c r="I14" s="14"/>
    </row>
    <row r="15" spans="2:9" x14ac:dyDescent="0.25">
      <c r="B15" s="15"/>
      <c r="C15" s="3"/>
      <c r="E15" s="10"/>
      <c r="F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D18" s="28" t="s">
        <v>2</v>
      </c>
      <c r="E18" s="5" t="s">
        <v>7</v>
      </c>
      <c r="G18" s="5" t="s">
        <v>6</v>
      </c>
      <c r="H18" s="14"/>
      <c r="I18" s="14"/>
    </row>
    <row r="19" spans="2:9" x14ac:dyDescent="0.25">
      <c r="B19" s="15"/>
      <c r="C19" s="4">
        <v>204</v>
      </c>
      <c r="D19" s="38" t="s">
        <v>93</v>
      </c>
      <c r="E19" s="4">
        <v>309</v>
      </c>
      <c r="G19" s="4">
        <v>204</v>
      </c>
      <c r="H19" s="14"/>
      <c r="I19" s="14"/>
    </row>
    <row r="20" spans="2:9" x14ac:dyDescent="0.25">
      <c r="B20" s="16">
        <v>0.625</v>
      </c>
      <c r="C20" s="40" t="s">
        <v>44</v>
      </c>
      <c r="D20" s="29" t="s">
        <v>304</v>
      </c>
      <c r="E20" s="3"/>
      <c r="G20" s="3"/>
      <c r="H20" s="14"/>
      <c r="I20" s="14"/>
    </row>
    <row r="21" spans="2:9" x14ac:dyDescent="0.25">
      <c r="B21" s="15"/>
      <c r="C21" s="3"/>
      <c r="E21" s="3"/>
      <c r="G21" s="3"/>
      <c r="H21" s="14"/>
      <c r="I21" s="14"/>
    </row>
    <row r="22" spans="2:9" x14ac:dyDescent="0.25">
      <c r="B22" s="16">
        <v>0.66666666666666663</v>
      </c>
      <c r="C22" s="3"/>
      <c r="E22" s="5" t="s">
        <v>9</v>
      </c>
      <c r="G22" s="3"/>
      <c r="H22" s="14"/>
      <c r="I22" s="14"/>
    </row>
    <row r="23" spans="2:9" x14ac:dyDescent="0.25">
      <c r="B23" s="15"/>
      <c r="C23" s="3"/>
      <c r="E23" s="6" t="s">
        <v>10</v>
      </c>
      <c r="G23" s="3"/>
      <c r="H23" s="14"/>
      <c r="I23" s="14"/>
    </row>
    <row r="24" spans="2:9" x14ac:dyDescent="0.25">
      <c r="B24" s="16">
        <v>0.70833333333333337</v>
      </c>
      <c r="C24" s="3"/>
      <c r="E24" s="3"/>
      <c r="G24" s="3"/>
      <c r="H24" s="14"/>
      <c r="I24" s="14"/>
    </row>
    <row r="25" spans="2:9" x14ac:dyDescent="0.25">
      <c r="B25" s="15"/>
      <c r="C25" s="3"/>
      <c r="D25" s="9" t="s">
        <v>3</v>
      </c>
      <c r="E25" s="3"/>
      <c r="G25" s="3"/>
      <c r="H25" s="14"/>
      <c r="I25" s="14"/>
    </row>
    <row r="26" spans="2:9" x14ac:dyDescent="0.25">
      <c r="B26" s="16">
        <v>0.75</v>
      </c>
      <c r="D26" s="8" t="s">
        <v>4</v>
      </c>
      <c r="H26" s="14"/>
      <c r="I26" s="14"/>
    </row>
    <row r="27" spans="2:9" x14ac:dyDescent="0.25">
      <c r="B27" s="15"/>
      <c r="D27" s="49" t="s">
        <v>310</v>
      </c>
      <c r="H27" s="14"/>
      <c r="I27" s="14"/>
    </row>
    <row r="29" spans="2:9" x14ac:dyDescent="0.25">
      <c r="B29" s="19" t="s">
        <v>21</v>
      </c>
      <c r="C29" s="30">
        <f>C5</f>
        <v>46006</v>
      </c>
      <c r="D29" s="30">
        <f t="shared" ref="D29:I29" si="1">D5</f>
        <v>46007</v>
      </c>
      <c r="E29" s="30">
        <f t="shared" si="1"/>
        <v>46008</v>
      </c>
      <c r="F29" s="30">
        <f t="shared" si="1"/>
        <v>46009</v>
      </c>
      <c r="G29" s="30">
        <f t="shared" si="1"/>
        <v>46010</v>
      </c>
      <c r="H29" s="30">
        <f t="shared" si="1"/>
        <v>46011</v>
      </c>
      <c r="I29" s="30">
        <f t="shared" si="1"/>
        <v>46012</v>
      </c>
    </row>
    <row r="30" spans="2:9" ht="30" x14ac:dyDescent="0.25">
      <c r="B30" s="33"/>
      <c r="C30" s="39" t="s">
        <v>279</v>
      </c>
      <c r="D30" s="39" t="s">
        <v>98</v>
      </c>
      <c r="E30" s="39" t="s">
        <v>124</v>
      </c>
      <c r="F30" s="39" t="s">
        <v>297</v>
      </c>
      <c r="G30" s="39" t="s">
        <v>197</v>
      </c>
      <c r="H30" s="33"/>
      <c r="I30" s="33"/>
    </row>
    <row r="31" spans="2:9" ht="225" x14ac:dyDescent="0.25">
      <c r="B31" s="33"/>
      <c r="C31" s="39" t="s">
        <v>292</v>
      </c>
      <c r="D31" s="39" t="s">
        <v>205</v>
      </c>
      <c r="E31" s="39" t="s">
        <v>182</v>
      </c>
      <c r="F31" s="39" t="s">
        <v>113</v>
      </c>
      <c r="G31" s="39" t="s">
        <v>308</v>
      </c>
      <c r="H31" s="33"/>
      <c r="I31" s="33"/>
    </row>
    <row r="32" spans="2:9" ht="45" x14ac:dyDescent="0.25">
      <c r="B32" s="33"/>
      <c r="C32" s="39" t="s">
        <v>298</v>
      </c>
      <c r="D32" s="39" t="s">
        <v>293</v>
      </c>
      <c r="E32" s="39" t="s">
        <v>277</v>
      </c>
      <c r="F32" s="39" t="s">
        <v>302</v>
      </c>
      <c r="G32" s="39" t="s">
        <v>305</v>
      </c>
      <c r="H32" s="33"/>
      <c r="I32" s="33"/>
    </row>
    <row r="33" spans="2:9" ht="30" x14ac:dyDescent="0.25">
      <c r="B33" s="33"/>
      <c r="C33" s="39" t="s">
        <v>300</v>
      </c>
      <c r="D33" s="39" t="s">
        <v>296</v>
      </c>
      <c r="E33" s="39" t="s">
        <v>291</v>
      </c>
      <c r="F33" s="39" t="s">
        <v>314</v>
      </c>
      <c r="G33" s="39" t="s">
        <v>284</v>
      </c>
      <c r="H33" s="33"/>
      <c r="I33" s="33"/>
    </row>
    <row r="34" spans="2:9" ht="30" x14ac:dyDescent="0.25">
      <c r="B34" s="33"/>
      <c r="C34" s="39" t="s">
        <v>301</v>
      </c>
      <c r="D34" s="39" t="s">
        <v>299</v>
      </c>
      <c r="E34" s="39" t="s">
        <v>301</v>
      </c>
      <c r="F34" s="33"/>
      <c r="G34" s="39" t="s">
        <v>311</v>
      </c>
      <c r="H34" s="33"/>
      <c r="I34" s="33"/>
    </row>
    <row r="35" spans="2:9" ht="30" x14ac:dyDescent="0.25">
      <c r="B35" s="33"/>
      <c r="C35" s="33"/>
      <c r="D35" s="39" t="s">
        <v>303</v>
      </c>
      <c r="E35" s="33"/>
      <c r="F35" s="33"/>
      <c r="G35" s="39" t="s">
        <v>312</v>
      </c>
      <c r="H35" s="33"/>
      <c r="I35" s="33"/>
    </row>
    <row r="36" spans="2:9" ht="30" x14ac:dyDescent="0.25">
      <c r="B36" s="33"/>
      <c r="C36" s="33"/>
      <c r="D36" s="33"/>
      <c r="E36" s="33"/>
      <c r="F36" s="33"/>
      <c r="G36" s="39" t="s">
        <v>313</v>
      </c>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7" priority="1" timePeriod="today">
      <formula>FLOOR(C5,1)=TODAY()</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5F292-615B-40D0-BB38-DBBBCA623FC7}">
  <dimension ref="B2:I46"/>
  <sheetViews>
    <sheetView zoomScale="70" zoomScaleNormal="70" workbookViewId="0">
      <selection activeCell="G31" sqref="G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14</v>
      </c>
      <c r="D3" s="24">
        <f>C3/Index!R3</f>
        <v>0.35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46013</v>
      </c>
      <c r="D5" s="26">
        <f>C5+1</f>
        <v>46014</v>
      </c>
      <c r="E5" s="26">
        <f t="shared" ref="E5:I5" si="0">D5+1</f>
        <v>46015</v>
      </c>
      <c r="F5" s="26">
        <f t="shared" si="0"/>
        <v>46016</v>
      </c>
      <c r="G5" s="26">
        <f t="shared" si="0"/>
        <v>46017</v>
      </c>
      <c r="H5" s="27">
        <f t="shared" si="0"/>
        <v>46018</v>
      </c>
      <c r="I5" s="27">
        <f t="shared" si="0"/>
        <v>46019</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46013</v>
      </c>
      <c r="D29" s="30">
        <f t="shared" ref="D29:I29" si="1">D5</f>
        <v>46014</v>
      </c>
      <c r="E29" s="30">
        <f t="shared" si="1"/>
        <v>46015</v>
      </c>
      <c r="F29" s="30">
        <f t="shared" si="1"/>
        <v>46016</v>
      </c>
      <c r="G29" s="30">
        <f t="shared" si="1"/>
        <v>46017</v>
      </c>
      <c r="H29" s="30">
        <f t="shared" si="1"/>
        <v>46018</v>
      </c>
      <c r="I29" s="30">
        <f t="shared" si="1"/>
        <v>46019</v>
      </c>
    </row>
    <row r="30" spans="2:9" x14ac:dyDescent="0.25">
      <c r="B30" s="33"/>
      <c r="C30" s="39" t="s">
        <v>71</v>
      </c>
      <c r="D30" s="39" t="s">
        <v>71</v>
      </c>
      <c r="E30" s="39" t="s">
        <v>71</v>
      </c>
      <c r="F30" s="39" t="s">
        <v>71</v>
      </c>
      <c r="G30" s="39" t="s">
        <v>71</v>
      </c>
      <c r="H30" s="33"/>
      <c r="I30" s="33"/>
    </row>
    <row r="31" spans="2:9" ht="30" x14ac:dyDescent="0.25">
      <c r="B31" s="33"/>
      <c r="C31" s="33"/>
      <c r="D31" s="33"/>
      <c r="E31" s="33"/>
      <c r="F31" s="33"/>
      <c r="G31" s="39" t="s">
        <v>265</v>
      </c>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6" priority="1" timePeriod="today">
      <formula>FLOOR(C5,1)=TODAY()</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2449-0F47-4B7E-B832-DD923838DCBC}">
  <dimension ref="B2:I46"/>
  <sheetViews>
    <sheetView zoomScale="70" zoomScaleNormal="70" workbookViewId="0">
      <selection activeCell="F34" sqref="F34"/>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15</v>
      </c>
      <c r="D3" s="24">
        <f>C3/Index!R3</f>
        <v>0.375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46020</v>
      </c>
      <c r="D5" s="26">
        <f>C5+1</f>
        <v>46021</v>
      </c>
      <c r="E5" s="26">
        <f t="shared" ref="E5:I5" si="0">D5+1</f>
        <v>46022</v>
      </c>
      <c r="F5" s="26">
        <f t="shared" si="0"/>
        <v>46023</v>
      </c>
      <c r="G5" s="26">
        <f t="shared" si="0"/>
        <v>46024</v>
      </c>
      <c r="H5" s="27">
        <f t="shared" si="0"/>
        <v>46025</v>
      </c>
      <c r="I5" s="27">
        <f t="shared" si="0"/>
        <v>46026</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46020</v>
      </c>
      <c r="D29" s="30">
        <f t="shared" ref="D29:I29" si="1">D5</f>
        <v>46021</v>
      </c>
      <c r="E29" s="30">
        <f t="shared" si="1"/>
        <v>46022</v>
      </c>
      <c r="F29" s="30">
        <f t="shared" si="1"/>
        <v>46023</v>
      </c>
      <c r="G29" s="30">
        <f t="shared" si="1"/>
        <v>46024</v>
      </c>
      <c r="H29" s="30">
        <f t="shared" si="1"/>
        <v>46025</v>
      </c>
      <c r="I29" s="30">
        <f t="shared" si="1"/>
        <v>46026</v>
      </c>
    </row>
    <row r="30" spans="2:9" x14ac:dyDescent="0.25">
      <c r="B30" s="33"/>
      <c r="C30" s="39" t="s">
        <v>71</v>
      </c>
      <c r="D30" s="39" t="s">
        <v>71</v>
      </c>
      <c r="E30" s="39" t="s">
        <v>71</v>
      </c>
      <c r="F30" s="39" t="s">
        <v>71</v>
      </c>
      <c r="G30" s="39" t="s">
        <v>71</v>
      </c>
      <c r="H30" s="39" t="s">
        <v>319</v>
      </c>
      <c r="I30" s="39" t="s">
        <v>319</v>
      </c>
    </row>
    <row r="31" spans="2:9" x14ac:dyDescent="0.25">
      <c r="B31" s="33"/>
      <c r="C31" s="39" t="s">
        <v>320</v>
      </c>
      <c r="D31" s="39" t="s">
        <v>320</v>
      </c>
      <c r="E31" s="39" t="s">
        <v>320</v>
      </c>
      <c r="F31" s="39" t="s">
        <v>317</v>
      </c>
      <c r="G31" s="39" t="s">
        <v>317</v>
      </c>
      <c r="H31" s="39" t="s">
        <v>320</v>
      </c>
      <c r="I31" s="39" t="s">
        <v>320</v>
      </c>
    </row>
    <row r="32" spans="2:9" x14ac:dyDescent="0.25">
      <c r="B32" s="33"/>
      <c r="C32" s="33"/>
      <c r="D32" s="33"/>
      <c r="E32" s="33"/>
      <c r="F32" s="39" t="s">
        <v>320</v>
      </c>
      <c r="G32" s="39" t="s">
        <v>320</v>
      </c>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5" priority="1" timePeriod="today">
      <formula>FLOOR(C5,1)=TODAY()</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7FA38-CAD7-48CE-9233-76A9DB3200F0}">
  <dimension ref="B2:I46"/>
  <sheetViews>
    <sheetView zoomScale="74" zoomScaleNormal="100" workbookViewId="0">
      <selection activeCell="C17" sqref="C17:C25"/>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16</v>
      </c>
      <c r="D3" s="24">
        <f>C3/Index!R3</f>
        <v>0.4</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46027</v>
      </c>
      <c r="D5" s="26">
        <f>C5+1</f>
        <v>46028</v>
      </c>
      <c r="E5" s="26">
        <f t="shared" ref="E5:I5" si="0">D5+1</f>
        <v>46029</v>
      </c>
      <c r="F5" s="26">
        <f t="shared" si="0"/>
        <v>46030</v>
      </c>
      <c r="G5" s="26">
        <f t="shared" si="0"/>
        <v>46031</v>
      </c>
      <c r="H5" s="27">
        <f t="shared" si="0"/>
        <v>46032</v>
      </c>
      <c r="I5" s="27">
        <f t="shared" si="0"/>
        <v>46033</v>
      </c>
    </row>
    <row r="6" spans="2:9" x14ac:dyDescent="0.25">
      <c r="B6" s="16">
        <v>0.33333333333333331</v>
      </c>
      <c r="H6" s="14"/>
      <c r="I6" s="14"/>
    </row>
    <row r="7" spans="2:9" x14ac:dyDescent="0.25">
      <c r="B7" s="15"/>
      <c r="H7" s="14"/>
      <c r="I7" s="14"/>
    </row>
    <row r="8" spans="2:9" x14ac:dyDescent="0.25">
      <c r="B8" s="16">
        <v>0.375</v>
      </c>
      <c r="C8" s="5" t="s">
        <v>6</v>
      </c>
      <c r="D8" s="28" t="s">
        <v>25</v>
      </c>
      <c r="G8" s="5" t="s">
        <v>6</v>
      </c>
      <c r="H8" s="14"/>
      <c r="I8" s="14"/>
    </row>
    <row r="9" spans="2:9" x14ac:dyDescent="0.25">
      <c r="B9" s="15"/>
      <c r="C9" s="4">
        <v>204</v>
      </c>
      <c r="D9" s="29" t="s">
        <v>1</v>
      </c>
      <c r="G9" s="4">
        <v>204</v>
      </c>
      <c r="H9" s="14"/>
      <c r="I9" s="14"/>
    </row>
    <row r="10" spans="2:9" x14ac:dyDescent="0.25">
      <c r="B10" s="16">
        <v>0.41666666666666669</v>
      </c>
      <c r="C10" s="40" t="s">
        <v>46</v>
      </c>
      <c r="D10" s="29"/>
      <c r="G10" s="40" t="s">
        <v>45</v>
      </c>
      <c r="H10" s="14"/>
      <c r="I10" s="14"/>
    </row>
    <row r="11" spans="2:9" x14ac:dyDescent="0.25">
      <c r="B11" s="15"/>
      <c r="C11" s="40" t="s">
        <v>65</v>
      </c>
      <c r="D11" s="29"/>
      <c r="G11" s="40" t="s">
        <v>47</v>
      </c>
      <c r="H11" s="14"/>
      <c r="I11" s="14"/>
    </row>
    <row r="12" spans="2:9" x14ac:dyDescent="0.25">
      <c r="B12" s="16">
        <v>0.45833333333333331</v>
      </c>
      <c r="C12" s="3"/>
      <c r="D12" s="29"/>
      <c r="E12" s="11" t="s">
        <v>5</v>
      </c>
      <c r="F12" s="28" t="s">
        <v>25</v>
      </c>
      <c r="G12" s="3"/>
      <c r="H12" s="14"/>
      <c r="I12" s="14"/>
    </row>
    <row r="13" spans="2:9" x14ac:dyDescent="0.25">
      <c r="B13" s="15"/>
      <c r="C13" s="3"/>
      <c r="D13" s="29"/>
      <c r="E13" s="12">
        <v>115</v>
      </c>
      <c r="F13" s="29" t="s">
        <v>1</v>
      </c>
      <c r="G13" s="3"/>
      <c r="H13" s="14"/>
      <c r="I13" s="14"/>
    </row>
    <row r="14" spans="2:9" x14ac:dyDescent="0.25">
      <c r="B14" s="16">
        <v>0.5</v>
      </c>
      <c r="C14" s="3"/>
      <c r="D14" s="29"/>
      <c r="E14" s="10"/>
      <c r="F14" s="29"/>
      <c r="G14" s="3"/>
      <c r="H14" s="14"/>
      <c r="I14" s="14"/>
    </row>
    <row r="15" spans="2:9" x14ac:dyDescent="0.25">
      <c r="B15" s="15"/>
      <c r="C15" s="3"/>
      <c r="D15" s="29"/>
      <c r="E15" s="10"/>
      <c r="F15" s="29"/>
      <c r="G15" s="3"/>
      <c r="H15" s="14"/>
      <c r="I15" s="14"/>
    </row>
    <row r="16" spans="2:9" x14ac:dyDescent="0.25">
      <c r="B16" s="16">
        <v>0.54166666666666663</v>
      </c>
      <c r="F16" s="29"/>
      <c r="H16" s="14"/>
      <c r="I16" s="14"/>
    </row>
    <row r="17" spans="2:9" x14ac:dyDescent="0.25">
      <c r="B17" s="15"/>
      <c r="C17" s="36" t="s">
        <v>333</v>
      </c>
      <c r="F17" s="29"/>
      <c r="H17" s="14"/>
      <c r="I17" s="14"/>
    </row>
    <row r="18" spans="2:9" x14ac:dyDescent="0.25">
      <c r="B18" s="16">
        <v>0.58333333333333337</v>
      </c>
      <c r="C18" s="51">
        <v>0.5625</v>
      </c>
      <c r="D18" s="28" t="s">
        <v>26</v>
      </c>
      <c r="E18" s="5" t="s">
        <v>7</v>
      </c>
      <c r="F18" s="29"/>
      <c r="G18" s="5" t="s">
        <v>6</v>
      </c>
      <c r="H18" s="14"/>
      <c r="I18" s="14"/>
    </row>
    <row r="19" spans="2:9" x14ac:dyDescent="0.25">
      <c r="B19" s="15"/>
      <c r="C19" s="37"/>
      <c r="D19" s="29" t="s">
        <v>1</v>
      </c>
      <c r="E19" s="4">
        <v>309</v>
      </c>
      <c r="F19" s="29"/>
      <c r="G19" s="4">
        <v>204</v>
      </c>
      <c r="H19" s="14"/>
      <c r="I19" s="14"/>
    </row>
    <row r="20" spans="2:9" x14ac:dyDescent="0.25">
      <c r="B20" s="16">
        <v>0.625</v>
      </c>
      <c r="C20" s="37"/>
      <c r="D20" s="29"/>
      <c r="E20" s="3"/>
      <c r="F20" s="29"/>
      <c r="G20" s="3"/>
      <c r="H20" s="14"/>
      <c r="I20" s="14"/>
    </row>
    <row r="21" spans="2:9" x14ac:dyDescent="0.25">
      <c r="B21" s="15"/>
      <c r="C21" s="37"/>
      <c r="D21" s="29"/>
      <c r="E21" s="3"/>
      <c r="F21" s="29"/>
      <c r="G21" s="3"/>
      <c r="H21" s="14"/>
      <c r="I21" s="14"/>
    </row>
    <row r="22" spans="2:9" x14ac:dyDescent="0.25">
      <c r="B22" s="16">
        <v>0.66666666666666663</v>
      </c>
      <c r="C22" s="37"/>
      <c r="D22" s="29"/>
      <c r="E22" s="5" t="s">
        <v>9</v>
      </c>
      <c r="F22" s="29"/>
      <c r="G22" s="3"/>
      <c r="H22" s="14"/>
      <c r="I22" s="14"/>
    </row>
    <row r="23" spans="2:9" x14ac:dyDescent="0.25">
      <c r="B23" s="15"/>
      <c r="C23" s="37"/>
      <c r="D23" s="29"/>
      <c r="E23" s="6" t="s">
        <v>10</v>
      </c>
      <c r="F23" s="29"/>
      <c r="G23" s="3"/>
      <c r="H23" s="14"/>
      <c r="I23" s="14"/>
    </row>
    <row r="24" spans="2:9" x14ac:dyDescent="0.25">
      <c r="B24" s="16">
        <v>0.70833333333333337</v>
      </c>
      <c r="C24" s="37"/>
      <c r="D24" s="29"/>
      <c r="E24" s="3"/>
      <c r="F24" s="29"/>
      <c r="G24" s="3"/>
      <c r="H24" s="14"/>
      <c r="I24" s="14"/>
    </row>
    <row r="25" spans="2:9" x14ac:dyDescent="0.25">
      <c r="B25" s="15"/>
      <c r="C25" s="37"/>
      <c r="D25" s="29"/>
      <c r="E25" s="3"/>
      <c r="F25" s="29"/>
      <c r="G25" s="3"/>
      <c r="H25" s="14"/>
      <c r="I25" s="14"/>
    </row>
    <row r="26" spans="2:9" x14ac:dyDescent="0.25">
      <c r="B26" s="16">
        <v>0.75</v>
      </c>
      <c r="H26" s="14"/>
      <c r="I26" s="14"/>
    </row>
    <row r="27" spans="2:9" x14ac:dyDescent="0.25">
      <c r="B27" s="15"/>
      <c r="H27" s="14"/>
      <c r="I27" s="14"/>
    </row>
    <row r="29" spans="2:9" x14ac:dyDescent="0.25">
      <c r="B29" s="19" t="s">
        <v>21</v>
      </c>
      <c r="C29" s="30">
        <f>C5</f>
        <v>46027</v>
      </c>
      <c r="D29" s="30">
        <f t="shared" ref="D29:I29" si="1">D5</f>
        <v>46028</v>
      </c>
      <c r="E29" s="30">
        <f t="shared" si="1"/>
        <v>46029</v>
      </c>
      <c r="F29" s="30">
        <f t="shared" si="1"/>
        <v>46030</v>
      </c>
      <c r="G29" s="30">
        <f t="shared" si="1"/>
        <v>46031</v>
      </c>
      <c r="H29" s="30">
        <f t="shared" si="1"/>
        <v>46032</v>
      </c>
      <c r="I29" s="30">
        <f t="shared" si="1"/>
        <v>46033</v>
      </c>
    </row>
    <row r="30" spans="2:9" ht="30" x14ac:dyDescent="0.25">
      <c r="B30" s="33"/>
      <c r="C30" s="33" t="s">
        <v>30</v>
      </c>
      <c r="D30" s="39" t="s">
        <v>316</v>
      </c>
      <c r="E30" s="39" t="s">
        <v>316</v>
      </c>
      <c r="F30" s="39" t="s">
        <v>318</v>
      </c>
      <c r="G30" s="39" t="s">
        <v>326</v>
      </c>
      <c r="H30" s="33"/>
      <c r="I30" s="33"/>
    </row>
    <row r="31" spans="2:9" x14ac:dyDescent="0.25">
      <c r="B31" s="33"/>
      <c r="C31" s="39" t="s">
        <v>325</v>
      </c>
      <c r="D31" s="33"/>
      <c r="E31" s="33"/>
      <c r="F31" s="33"/>
      <c r="G31" s="33"/>
      <c r="H31" s="33"/>
      <c r="I31" s="33"/>
    </row>
    <row r="32" spans="2:9" ht="30" x14ac:dyDescent="0.25">
      <c r="B32" s="33"/>
      <c r="C32" s="39" t="s">
        <v>332</v>
      </c>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4" priority="1" timePeriod="today">
      <formula>FLOOR(C5,1)=TODAY()</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5EDA3-8AB7-4F0B-BBA3-3059B339E855}">
  <dimension ref="B2:I46"/>
  <sheetViews>
    <sheetView zoomScale="70" zoomScaleNormal="70" workbookViewId="0">
      <selection activeCell="D31" sqref="D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17</v>
      </c>
      <c r="D3" s="24">
        <f>C3/Index!R3</f>
        <v>0.42499999999999999</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46034</v>
      </c>
      <c r="D5" s="26">
        <f>C5+1</f>
        <v>46035</v>
      </c>
      <c r="E5" s="26">
        <f t="shared" ref="E5:I5" si="0">D5+1</f>
        <v>46036</v>
      </c>
      <c r="F5" s="26">
        <f t="shared" si="0"/>
        <v>46037</v>
      </c>
      <c r="G5" s="26">
        <f t="shared" si="0"/>
        <v>46038</v>
      </c>
      <c r="H5" s="27">
        <f t="shared" si="0"/>
        <v>46039</v>
      </c>
      <c r="I5" s="27">
        <f t="shared" si="0"/>
        <v>46040</v>
      </c>
    </row>
    <row r="6" spans="2:9" x14ac:dyDescent="0.25">
      <c r="B6" s="16">
        <v>0.33333333333333331</v>
      </c>
      <c r="H6" s="14"/>
      <c r="I6" s="14"/>
    </row>
    <row r="7" spans="2:9" x14ac:dyDescent="0.25">
      <c r="B7" s="15"/>
      <c r="H7" s="14"/>
      <c r="I7" s="14"/>
    </row>
    <row r="8" spans="2:9" x14ac:dyDescent="0.25">
      <c r="B8" s="16">
        <v>0.375</v>
      </c>
      <c r="C8" s="5" t="s">
        <v>6</v>
      </c>
      <c r="D8" s="28" t="s">
        <v>25</v>
      </c>
      <c r="F8" s="36" t="s">
        <v>340</v>
      </c>
      <c r="G8" s="5" t="s">
        <v>6</v>
      </c>
      <c r="H8" s="14"/>
      <c r="I8" s="14"/>
    </row>
    <row r="9" spans="2:9" ht="30" x14ac:dyDescent="0.25">
      <c r="B9" s="15"/>
      <c r="C9" s="4">
        <v>204</v>
      </c>
      <c r="D9" s="29" t="s">
        <v>1</v>
      </c>
      <c r="F9" s="52" t="s">
        <v>341</v>
      </c>
      <c r="G9" s="4">
        <v>204</v>
      </c>
      <c r="H9" s="14"/>
      <c r="I9" s="14"/>
    </row>
    <row r="10" spans="2:9" x14ac:dyDescent="0.25">
      <c r="B10" s="16">
        <v>0.41666666666666669</v>
      </c>
      <c r="C10" s="40" t="s">
        <v>46</v>
      </c>
      <c r="D10" s="29"/>
      <c r="F10" s="37"/>
      <c r="G10" s="40" t="s">
        <v>45</v>
      </c>
      <c r="H10" s="14"/>
      <c r="I10" s="14"/>
    </row>
    <row r="11" spans="2:9" x14ac:dyDescent="0.25">
      <c r="B11" s="15"/>
      <c r="C11" s="40" t="s">
        <v>65</v>
      </c>
      <c r="D11" s="29">
        <v>0</v>
      </c>
      <c r="F11" s="37"/>
      <c r="G11" s="3"/>
      <c r="H11" s="14"/>
      <c r="I11" s="14"/>
    </row>
    <row r="12" spans="2:9" x14ac:dyDescent="0.25">
      <c r="B12" s="16">
        <v>0.45833333333333331</v>
      </c>
      <c r="C12" s="3"/>
      <c r="D12" s="29"/>
      <c r="E12" s="11" t="s">
        <v>5</v>
      </c>
      <c r="F12" s="37"/>
      <c r="G12" s="3"/>
      <c r="H12" s="14"/>
      <c r="I12" s="14"/>
    </row>
    <row r="13" spans="2:9" x14ac:dyDescent="0.25">
      <c r="B13" s="15"/>
      <c r="C13" s="3"/>
      <c r="D13" s="29"/>
      <c r="E13" s="12">
        <v>115</v>
      </c>
      <c r="F13" s="37"/>
      <c r="G13" s="3"/>
      <c r="H13" s="14"/>
      <c r="I13" s="14"/>
    </row>
    <row r="14" spans="2:9" x14ac:dyDescent="0.25">
      <c r="B14" s="16">
        <v>0.5</v>
      </c>
      <c r="C14" s="3"/>
      <c r="D14" s="29"/>
      <c r="E14" s="10"/>
      <c r="F14" s="37"/>
      <c r="G14" s="3"/>
      <c r="H14" s="14"/>
      <c r="I14" s="14"/>
    </row>
    <row r="15" spans="2:9" x14ac:dyDescent="0.25">
      <c r="B15" s="15"/>
      <c r="C15" s="3"/>
      <c r="D15" s="29"/>
      <c r="E15" s="10"/>
      <c r="F15" s="37"/>
      <c r="G15" s="3"/>
      <c r="H15" s="14"/>
      <c r="I15" s="14"/>
    </row>
    <row r="16" spans="2:9" x14ac:dyDescent="0.25">
      <c r="B16" s="16">
        <v>0.54166666666666663</v>
      </c>
      <c r="F16" s="37"/>
      <c r="H16" s="14"/>
      <c r="I16" s="14"/>
    </row>
    <row r="17" spans="2:9" x14ac:dyDescent="0.25">
      <c r="B17" s="15"/>
      <c r="C17" s="36" t="s">
        <v>333</v>
      </c>
      <c r="F17" s="37"/>
      <c r="H17" s="14"/>
      <c r="I17" s="14"/>
    </row>
    <row r="18" spans="2:9" x14ac:dyDescent="0.25">
      <c r="B18" s="16">
        <v>0.58333333333333337</v>
      </c>
      <c r="C18" s="51">
        <v>0.5625</v>
      </c>
      <c r="D18" s="28" t="s">
        <v>26</v>
      </c>
      <c r="E18" s="5" t="s">
        <v>7</v>
      </c>
      <c r="F18" s="37"/>
      <c r="G18" s="5" t="s">
        <v>6</v>
      </c>
      <c r="H18" s="14"/>
      <c r="I18" s="14"/>
    </row>
    <row r="19" spans="2:9" x14ac:dyDescent="0.25">
      <c r="B19" s="15"/>
      <c r="C19" s="37"/>
      <c r="D19" s="29" t="s">
        <v>1</v>
      </c>
      <c r="E19" s="4">
        <v>309</v>
      </c>
      <c r="F19" s="37"/>
      <c r="G19" s="4">
        <v>204</v>
      </c>
      <c r="H19" s="14"/>
      <c r="I19" s="14"/>
    </row>
    <row r="20" spans="2:9" x14ac:dyDescent="0.25">
      <c r="B20" s="16">
        <v>0.625</v>
      </c>
      <c r="C20" s="37"/>
      <c r="D20" s="29"/>
      <c r="E20" s="3"/>
      <c r="F20" s="37"/>
      <c r="G20" s="3"/>
      <c r="H20" s="14"/>
      <c r="I20" s="14"/>
    </row>
    <row r="21" spans="2:9" x14ac:dyDescent="0.25">
      <c r="B21" s="15"/>
      <c r="C21" s="37"/>
      <c r="D21" s="29"/>
      <c r="E21" s="3"/>
      <c r="F21" s="37"/>
      <c r="G21" s="3"/>
      <c r="H21" s="14"/>
      <c r="I21" s="14"/>
    </row>
    <row r="22" spans="2:9" x14ac:dyDescent="0.25">
      <c r="B22" s="16">
        <v>0.66666666666666663</v>
      </c>
      <c r="C22" s="37"/>
      <c r="D22" s="29"/>
      <c r="E22" s="5" t="s">
        <v>9</v>
      </c>
      <c r="F22" s="37"/>
      <c r="G22" s="3"/>
      <c r="H22" s="14"/>
      <c r="I22" s="14"/>
    </row>
    <row r="23" spans="2:9" x14ac:dyDescent="0.25">
      <c r="B23" s="15"/>
      <c r="C23" s="37"/>
      <c r="D23" s="29"/>
      <c r="E23" s="6" t="s">
        <v>10</v>
      </c>
      <c r="F23" s="37"/>
      <c r="G23" s="3"/>
      <c r="H23" s="14"/>
      <c r="I23" s="14"/>
    </row>
    <row r="24" spans="2:9" x14ac:dyDescent="0.25">
      <c r="B24" s="16">
        <v>0.70833333333333337</v>
      </c>
      <c r="C24" s="37"/>
      <c r="D24" s="29"/>
      <c r="E24" s="3"/>
      <c r="F24" s="37"/>
      <c r="G24" s="3"/>
      <c r="H24" s="14"/>
      <c r="I24" s="14"/>
    </row>
    <row r="25" spans="2:9" x14ac:dyDescent="0.25">
      <c r="B25" s="15"/>
      <c r="C25" s="37"/>
      <c r="D25" s="29"/>
      <c r="E25" s="3"/>
      <c r="F25" s="37"/>
      <c r="G25" s="3"/>
      <c r="H25" s="14"/>
      <c r="I25" s="14"/>
    </row>
    <row r="26" spans="2:9" x14ac:dyDescent="0.25">
      <c r="B26" s="16">
        <v>0.75</v>
      </c>
      <c r="H26" s="14"/>
      <c r="I26" s="14"/>
    </row>
    <row r="27" spans="2:9" x14ac:dyDescent="0.25">
      <c r="B27" s="15"/>
      <c r="H27" s="14"/>
      <c r="I27" s="14"/>
    </row>
    <row r="29" spans="2:9" x14ac:dyDescent="0.25">
      <c r="B29" s="19" t="s">
        <v>21</v>
      </c>
      <c r="C29" s="30">
        <f>C5</f>
        <v>46034</v>
      </c>
      <c r="D29" s="30">
        <f t="shared" ref="D29:I29" si="1">D5</f>
        <v>46035</v>
      </c>
      <c r="E29" s="30">
        <f t="shared" si="1"/>
        <v>46036</v>
      </c>
      <c r="F29" s="30">
        <f t="shared" si="1"/>
        <v>46037</v>
      </c>
      <c r="G29" s="30">
        <f t="shared" si="1"/>
        <v>46038</v>
      </c>
      <c r="H29" s="30">
        <f t="shared" si="1"/>
        <v>46039</v>
      </c>
      <c r="I29" s="30">
        <f t="shared" si="1"/>
        <v>46040</v>
      </c>
    </row>
    <row r="30" spans="2:9" ht="30" x14ac:dyDescent="0.25">
      <c r="B30" s="33"/>
      <c r="C30" s="33" t="s">
        <v>290</v>
      </c>
      <c r="D30" s="39" t="s">
        <v>334</v>
      </c>
      <c r="E30" s="39" t="s">
        <v>335</v>
      </c>
      <c r="F30" s="39" t="s">
        <v>338</v>
      </c>
      <c r="G30" s="39" t="s">
        <v>72</v>
      </c>
      <c r="H30" s="39" t="s">
        <v>339</v>
      </c>
      <c r="I30" s="39" t="s">
        <v>103</v>
      </c>
    </row>
    <row r="31" spans="2:9" ht="30" x14ac:dyDescent="0.25">
      <c r="B31" s="33"/>
      <c r="C31" s="39" t="s">
        <v>327</v>
      </c>
      <c r="D31" s="33"/>
      <c r="E31" s="33"/>
      <c r="F31" s="33"/>
      <c r="G31" s="33" t="s">
        <v>290</v>
      </c>
      <c r="H31" s="33"/>
      <c r="I31" s="39" t="s">
        <v>267</v>
      </c>
    </row>
    <row r="32" spans="2:9" ht="30" x14ac:dyDescent="0.25">
      <c r="B32" s="33"/>
      <c r="C32" s="39" t="s">
        <v>336</v>
      </c>
      <c r="D32" s="33"/>
      <c r="E32" s="33"/>
      <c r="F32" s="33"/>
      <c r="G32" s="39" t="s">
        <v>328</v>
      </c>
      <c r="H32" s="33"/>
      <c r="I32" s="39" t="s">
        <v>266</v>
      </c>
    </row>
    <row r="33" spans="2:9" ht="405" x14ac:dyDescent="0.25">
      <c r="B33" s="33"/>
      <c r="C33" s="39" t="s">
        <v>337</v>
      </c>
      <c r="D33" s="33"/>
      <c r="E33" s="33"/>
      <c r="F33" s="33"/>
      <c r="G33" s="39" t="s">
        <v>330</v>
      </c>
      <c r="H33" s="33"/>
      <c r="I33" s="33"/>
    </row>
    <row r="34" spans="2:9" ht="90" x14ac:dyDescent="0.25">
      <c r="B34" s="33"/>
      <c r="C34" s="33"/>
      <c r="D34" s="33"/>
      <c r="E34" s="33"/>
      <c r="F34" s="33"/>
      <c r="G34" s="39" t="s">
        <v>331</v>
      </c>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3" priority="1" timePeriod="today">
      <formula>FLOOR(C5,1)=TODAY()</formula>
    </cfRule>
  </conditionalFormatting>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05623-E348-4555-8264-A129D987A943}">
  <dimension ref="B2:I46"/>
  <sheetViews>
    <sheetView zoomScale="70" zoomScaleNormal="70" workbookViewId="0">
      <selection activeCell="E31" sqref="E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18</v>
      </c>
      <c r="D3" s="24">
        <f>C3/Index!R3</f>
        <v>0.45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46041</v>
      </c>
      <c r="D5" s="26">
        <f>C5+1</f>
        <v>46042</v>
      </c>
      <c r="E5" s="26">
        <f t="shared" ref="E5:I5" si="0">D5+1</f>
        <v>46043</v>
      </c>
      <c r="F5" s="26">
        <f t="shared" si="0"/>
        <v>46044</v>
      </c>
      <c r="G5" s="26">
        <f t="shared" si="0"/>
        <v>46045</v>
      </c>
      <c r="H5" s="27">
        <f t="shared" si="0"/>
        <v>46046</v>
      </c>
      <c r="I5" s="27">
        <f t="shared" si="0"/>
        <v>46047</v>
      </c>
    </row>
    <row r="6" spans="2:9" x14ac:dyDescent="0.25">
      <c r="B6" s="16">
        <v>0.33333333333333331</v>
      </c>
      <c r="H6" s="14"/>
      <c r="I6" s="14"/>
    </row>
    <row r="7" spans="2:9" x14ac:dyDescent="0.25">
      <c r="B7" s="15"/>
      <c r="H7" s="14"/>
      <c r="I7" s="14"/>
    </row>
    <row r="8" spans="2:9" x14ac:dyDescent="0.25">
      <c r="B8" s="16">
        <v>0.375</v>
      </c>
      <c r="C8" s="5" t="s">
        <v>6</v>
      </c>
      <c r="D8" s="5" t="s">
        <v>322</v>
      </c>
      <c r="G8" s="5" t="s">
        <v>6</v>
      </c>
      <c r="H8" s="14"/>
      <c r="I8" s="14"/>
    </row>
    <row r="9" spans="2:9" x14ac:dyDescent="0.25">
      <c r="B9" s="15"/>
      <c r="C9" s="4">
        <v>204</v>
      </c>
      <c r="D9" s="4">
        <v>204</v>
      </c>
      <c r="G9" s="4">
        <v>204</v>
      </c>
      <c r="H9" s="14"/>
      <c r="I9" s="14"/>
    </row>
    <row r="10" spans="2:9" ht="30" x14ac:dyDescent="0.25">
      <c r="B10" s="16">
        <v>0.41666666666666669</v>
      </c>
      <c r="C10" s="3"/>
      <c r="D10" s="50" t="s">
        <v>323</v>
      </c>
      <c r="G10" s="3"/>
      <c r="H10" s="14"/>
      <c r="I10" s="14"/>
    </row>
    <row r="11" spans="2:9" x14ac:dyDescent="0.25">
      <c r="B11" s="15"/>
      <c r="C11" s="3"/>
      <c r="D11" s="3"/>
      <c r="G11" s="3"/>
      <c r="H11" s="14"/>
      <c r="I11" s="14"/>
    </row>
    <row r="12" spans="2:9" x14ac:dyDescent="0.25">
      <c r="B12" s="16">
        <v>0.45833333333333331</v>
      </c>
      <c r="C12" s="3"/>
      <c r="D12" s="3"/>
      <c r="E12" s="11" t="s">
        <v>5</v>
      </c>
      <c r="F12" s="28" t="s">
        <v>25</v>
      </c>
      <c r="G12" s="3"/>
      <c r="H12" s="14"/>
      <c r="I12" s="14"/>
    </row>
    <row r="13" spans="2:9" x14ac:dyDescent="0.25">
      <c r="B13" s="15"/>
      <c r="C13" s="3"/>
      <c r="D13" s="3"/>
      <c r="E13" s="12">
        <v>115</v>
      </c>
      <c r="F13" s="29" t="s">
        <v>1</v>
      </c>
      <c r="G13" s="3"/>
      <c r="H13" s="14"/>
      <c r="I13" s="14"/>
    </row>
    <row r="14" spans="2:9" x14ac:dyDescent="0.25">
      <c r="B14" s="16">
        <v>0.5</v>
      </c>
      <c r="C14" s="3"/>
      <c r="D14" s="3"/>
      <c r="E14" s="10"/>
      <c r="F14" s="29"/>
      <c r="G14" s="3"/>
      <c r="H14" s="14"/>
      <c r="I14" s="14"/>
    </row>
    <row r="15" spans="2:9" x14ac:dyDescent="0.25">
      <c r="B15" s="15"/>
      <c r="C15" s="3"/>
      <c r="D15" s="3"/>
      <c r="E15" s="10"/>
      <c r="F15" s="29"/>
      <c r="G15" s="3"/>
      <c r="H15" s="14"/>
      <c r="I15" s="14"/>
    </row>
    <row r="16" spans="2:9" x14ac:dyDescent="0.25">
      <c r="B16" s="16">
        <v>0.54166666666666663</v>
      </c>
      <c r="D16" s="3"/>
      <c r="F16" s="29"/>
      <c r="H16" s="14"/>
      <c r="I16" s="14"/>
    </row>
    <row r="17" spans="2:9" x14ac:dyDescent="0.25">
      <c r="B17" s="15"/>
      <c r="D17" s="3"/>
      <c r="F17" s="29"/>
      <c r="H17" s="14"/>
      <c r="I17" s="14"/>
    </row>
    <row r="18" spans="2:9" x14ac:dyDescent="0.25">
      <c r="B18" s="16">
        <v>0.58333333333333337</v>
      </c>
      <c r="C18" s="5" t="s">
        <v>6</v>
      </c>
      <c r="D18" s="3"/>
      <c r="E18" s="5" t="s">
        <v>7</v>
      </c>
      <c r="F18" s="29"/>
      <c r="G18" s="5" t="s">
        <v>6</v>
      </c>
      <c r="H18" s="14"/>
      <c r="I18" s="14"/>
    </row>
    <row r="19" spans="2:9" x14ac:dyDescent="0.25">
      <c r="B19" s="15"/>
      <c r="C19" s="4">
        <v>204</v>
      </c>
      <c r="D19" s="3"/>
      <c r="E19" s="4">
        <v>309</v>
      </c>
      <c r="F19" s="29"/>
      <c r="G19" s="4">
        <v>204</v>
      </c>
      <c r="H19" s="14"/>
      <c r="I19" s="14"/>
    </row>
    <row r="20" spans="2:9" x14ac:dyDescent="0.25">
      <c r="B20" s="16">
        <v>0.625</v>
      </c>
      <c r="C20" s="3"/>
      <c r="D20" s="3"/>
      <c r="E20" s="3"/>
      <c r="F20" s="29"/>
      <c r="G20" s="3"/>
      <c r="H20" s="14"/>
      <c r="I20" s="14"/>
    </row>
    <row r="21" spans="2:9" x14ac:dyDescent="0.25">
      <c r="B21" s="15"/>
      <c r="C21" s="3"/>
      <c r="D21" s="3"/>
      <c r="E21" s="3"/>
      <c r="F21" s="29"/>
      <c r="G21" s="3"/>
      <c r="H21" s="14"/>
      <c r="I21" s="14"/>
    </row>
    <row r="22" spans="2:9" x14ac:dyDescent="0.25">
      <c r="B22" s="16">
        <v>0.66666666666666663</v>
      </c>
      <c r="C22" s="3"/>
      <c r="D22" s="3"/>
      <c r="E22" s="5" t="s">
        <v>9</v>
      </c>
      <c r="F22" s="29"/>
      <c r="G22" s="3"/>
      <c r="H22" s="14"/>
      <c r="I22" s="14"/>
    </row>
    <row r="23" spans="2:9" x14ac:dyDescent="0.25">
      <c r="B23" s="15"/>
      <c r="C23" s="3"/>
      <c r="D23" s="3"/>
      <c r="E23" s="6" t="s">
        <v>10</v>
      </c>
      <c r="F23" s="29"/>
      <c r="G23" s="3"/>
      <c r="H23" s="14"/>
      <c r="I23" s="14"/>
    </row>
    <row r="24" spans="2:9" x14ac:dyDescent="0.25">
      <c r="B24" s="16">
        <v>0.70833333333333337</v>
      </c>
      <c r="C24" s="3"/>
      <c r="D24" s="3"/>
      <c r="E24" s="3"/>
      <c r="F24" s="29"/>
      <c r="G24" s="3"/>
      <c r="H24" s="14"/>
      <c r="I24" s="14"/>
    </row>
    <row r="25" spans="2:9" x14ac:dyDescent="0.25">
      <c r="B25" s="15"/>
      <c r="C25" s="3"/>
      <c r="D25" s="3"/>
      <c r="E25" s="3"/>
      <c r="F25" s="29"/>
      <c r="G25" s="3"/>
      <c r="H25" s="14"/>
      <c r="I25" s="14"/>
    </row>
    <row r="26" spans="2:9" x14ac:dyDescent="0.25">
      <c r="B26" s="16">
        <v>0.75</v>
      </c>
      <c r="H26" s="14"/>
      <c r="I26" s="14"/>
    </row>
    <row r="27" spans="2:9" x14ac:dyDescent="0.25">
      <c r="B27" s="15"/>
      <c r="H27" s="14"/>
      <c r="I27" s="14"/>
    </row>
    <row r="29" spans="2:9" x14ac:dyDescent="0.25">
      <c r="B29" s="19" t="s">
        <v>21</v>
      </c>
      <c r="C29" s="30">
        <f>C5</f>
        <v>46041</v>
      </c>
      <c r="D29" s="30">
        <f t="shared" ref="D29:I29" si="1">D5</f>
        <v>46042</v>
      </c>
      <c r="E29" s="30">
        <f t="shared" si="1"/>
        <v>46043</v>
      </c>
      <c r="F29" s="30">
        <f t="shared" si="1"/>
        <v>46044</v>
      </c>
      <c r="G29" s="30">
        <f t="shared" si="1"/>
        <v>46045</v>
      </c>
      <c r="H29" s="30">
        <f t="shared" si="1"/>
        <v>46046</v>
      </c>
      <c r="I29" s="30">
        <f t="shared" si="1"/>
        <v>46047</v>
      </c>
    </row>
    <row r="30" spans="2:9" ht="75" x14ac:dyDescent="0.25">
      <c r="B30" s="33"/>
      <c r="C30" s="39" t="s">
        <v>85</v>
      </c>
      <c r="D30" s="39" t="s">
        <v>85</v>
      </c>
      <c r="E30" s="39" t="s">
        <v>315</v>
      </c>
      <c r="F30" s="33"/>
      <c r="G30" s="33"/>
      <c r="H30" s="33"/>
      <c r="I30" s="33"/>
    </row>
    <row r="31" spans="2:9" ht="45" x14ac:dyDescent="0.25">
      <c r="B31" s="33"/>
      <c r="C31" s="39" t="s">
        <v>329</v>
      </c>
      <c r="D31" s="39" t="s">
        <v>288</v>
      </c>
      <c r="E31" s="33"/>
      <c r="F31" s="33"/>
      <c r="G31" s="33"/>
      <c r="H31" s="33"/>
      <c r="I31" s="33"/>
    </row>
    <row r="32" spans="2:9" ht="409.5" x14ac:dyDescent="0.25">
      <c r="B32" s="33"/>
      <c r="C32" s="33"/>
      <c r="D32" s="39" t="s">
        <v>324</v>
      </c>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2" priority="1" timePeriod="today">
      <formula>FLOOR(C5,1)=TODAY()</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1C00-A9BB-4756-B381-F6C066F873BF}">
  <dimension ref="B2:I46"/>
  <sheetViews>
    <sheetView topLeftCell="A3"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19</v>
      </c>
      <c r="D3" s="24">
        <f>C3/Index!R3</f>
        <v>0.47499999999999998</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46048</v>
      </c>
      <c r="D5" s="26">
        <f>C5+1</f>
        <v>46049</v>
      </c>
      <c r="E5" s="26">
        <f t="shared" ref="E5:I5" si="0">D5+1</f>
        <v>46050</v>
      </c>
      <c r="F5" s="26">
        <f t="shared" si="0"/>
        <v>46051</v>
      </c>
      <c r="G5" s="26">
        <f t="shared" si="0"/>
        <v>46052</v>
      </c>
      <c r="H5" s="27">
        <f t="shared" si="0"/>
        <v>46053</v>
      </c>
      <c r="I5" s="27">
        <f t="shared" si="0"/>
        <v>46054</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46048</v>
      </c>
      <c r="D29" s="30">
        <f t="shared" ref="D29:I29" si="1">D5</f>
        <v>46049</v>
      </c>
      <c r="E29" s="30">
        <f t="shared" si="1"/>
        <v>46050</v>
      </c>
      <c r="F29" s="30">
        <f t="shared" si="1"/>
        <v>46051</v>
      </c>
      <c r="G29" s="30">
        <f t="shared" si="1"/>
        <v>46052</v>
      </c>
      <c r="H29" s="30">
        <f t="shared" si="1"/>
        <v>46053</v>
      </c>
      <c r="I29" s="30">
        <f t="shared" si="1"/>
        <v>46054</v>
      </c>
    </row>
    <row r="30" spans="2:9" x14ac:dyDescent="0.25">
      <c r="B30" s="33"/>
      <c r="C30" s="39" t="s">
        <v>372</v>
      </c>
      <c r="D30" s="39" t="s">
        <v>251</v>
      </c>
      <c r="E30" s="39" t="s">
        <v>343</v>
      </c>
      <c r="F30" s="39" t="s">
        <v>343</v>
      </c>
      <c r="G30" s="39" t="s">
        <v>344</v>
      </c>
      <c r="H30" s="39" t="s">
        <v>377</v>
      </c>
      <c r="I30" s="39" t="s">
        <v>377</v>
      </c>
    </row>
    <row r="31" spans="2:9" x14ac:dyDescent="0.25">
      <c r="B31" s="33"/>
      <c r="C31" s="33"/>
      <c r="D31" s="39" t="s">
        <v>377</v>
      </c>
      <c r="E31" s="39" t="s">
        <v>377</v>
      </c>
      <c r="F31" s="39" t="s">
        <v>377</v>
      </c>
      <c r="G31" s="39" t="s">
        <v>377</v>
      </c>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1" priority="1" timePeriod="today">
      <formula>FLOOR(C5,1)=TODAY()</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760F-953E-4B93-950A-0803F5B5CB90}">
  <dimension ref="B2:I46"/>
  <sheetViews>
    <sheetView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20</v>
      </c>
      <c r="D3" s="24">
        <f>C3/Index!R3</f>
        <v>0.5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46055</v>
      </c>
      <c r="D5" s="26">
        <f>C5+1</f>
        <v>46056</v>
      </c>
      <c r="E5" s="26">
        <f t="shared" ref="E5:I5" si="0">D5+1</f>
        <v>46057</v>
      </c>
      <c r="F5" s="26">
        <f t="shared" si="0"/>
        <v>46058</v>
      </c>
      <c r="G5" s="26">
        <f t="shared" si="0"/>
        <v>46059</v>
      </c>
      <c r="H5" s="27">
        <f t="shared" si="0"/>
        <v>46060</v>
      </c>
      <c r="I5" s="27">
        <f t="shared" si="0"/>
        <v>46061</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46055</v>
      </c>
      <c r="D29" s="30">
        <f t="shared" ref="D29:I29" si="1">D5</f>
        <v>46056</v>
      </c>
      <c r="E29" s="30">
        <f t="shared" si="1"/>
        <v>46057</v>
      </c>
      <c r="F29" s="30">
        <f t="shared" si="1"/>
        <v>46058</v>
      </c>
      <c r="G29" s="30">
        <f t="shared" si="1"/>
        <v>46059</v>
      </c>
      <c r="H29" s="30">
        <f t="shared" si="1"/>
        <v>46060</v>
      </c>
      <c r="I29" s="30">
        <f t="shared" si="1"/>
        <v>46061</v>
      </c>
    </row>
    <row r="30" spans="2:9" ht="30" x14ac:dyDescent="0.25">
      <c r="B30" s="33"/>
      <c r="C30" s="39" t="s">
        <v>367</v>
      </c>
      <c r="D30" s="39" t="s">
        <v>367</v>
      </c>
      <c r="E30" s="39" t="s">
        <v>342</v>
      </c>
      <c r="F30" s="39" t="s">
        <v>342</v>
      </c>
      <c r="G30" s="39" t="s">
        <v>367</v>
      </c>
      <c r="H30" s="39" t="s">
        <v>367</v>
      </c>
      <c r="I30" s="39" t="s">
        <v>367</v>
      </c>
    </row>
    <row r="31" spans="2:9" ht="30" x14ac:dyDescent="0.25">
      <c r="B31" s="33"/>
      <c r="C31" s="39" t="s">
        <v>376</v>
      </c>
      <c r="D31" s="39" t="s">
        <v>376</v>
      </c>
      <c r="E31" s="39" t="s">
        <v>367</v>
      </c>
      <c r="F31" s="39" t="s">
        <v>367</v>
      </c>
      <c r="G31" s="39" t="s">
        <v>376</v>
      </c>
      <c r="H31" s="39" t="s">
        <v>376</v>
      </c>
      <c r="I31" s="39" t="s">
        <v>376</v>
      </c>
    </row>
    <row r="32" spans="2:9" x14ac:dyDescent="0.25">
      <c r="B32" s="33"/>
      <c r="C32" s="33"/>
      <c r="D32" s="33"/>
      <c r="E32" s="39" t="s">
        <v>376</v>
      </c>
      <c r="F32" s="39" t="s">
        <v>376</v>
      </c>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0" priority="1" timePeriod="today">
      <formula>FLOOR(C5,1)=TODAY()</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4DAA-37FD-4804-AA89-062892E90014}">
  <dimension ref="B2:I46"/>
  <sheetViews>
    <sheetView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21</v>
      </c>
      <c r="D3" s="24">
        <f>C3/Index!R3</f>
        <v>0.52500000000000002</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46062</v>
      </c>
      <c r="D5" s="26">
        <f>C5+1</f>
        <v>46063</v>
      </c>
      <c r="E5" s="26">
        <f t="shared" ref="E5:I5" si="0">D5+1</f>
        <v>46064</v>
      </c>
      <c r="F5" s="26">
        <f t="shared" si="0"/>
        <v>46065</v>
      </c>
      <c r="G5" s="26">
        <f t="shared" si="0"/>
        <v>46066</v>
      </c>
      <c r="H5" s="27">
        <f t="shared" si="0"/>
        <v>46067</v>
      </c>
      <c r="I5" s="27">
        <f t="shared" si="0"/>
        <v>46068</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46062</v>
      </c>
      <c r="D29" s="30">
        <f t="shared" ref="D29:I29" si="1">D5</f>
        <v>46063</v>
      </c>
      <c r="E29" s="30">
        <f t="shared" si="1"/>
        <v>46064</v>
      </c>
      <c r="F29" s="30">
        <f t="shared" si="1"/>
        <v>46065</v>
      </c>
      <c r="G29" s="30">
        <f t="shared" si="1"/>
        <v>46066</v>
      </c>
      <c r="H29" s="30">
        <f t="shared" si="1"/>
        <v>46067</v>
      </c>
      <c r="I29" s="30">
        <f t="shared" si="1"/>
        <v>46068</v>
      </c>
    </row>
    <row r="30" spans="2:9" ht="30" x14ac:dyDescent="0.25">
      <c r="B30" s="33"/>
      <c r="C30" s="39" t="s">
        <v>366</v>
      </c>
      <c r="D30" s="39" t="s">
        <v>366</v>
      </c>
      <c r="E30" s="39" t="s">
        <v>366</v>
      </c>
      <c r="F30" s="39" t="s">
        <v>366</v>
      </c>
      <c r="G30" s="39" t="s">
        <v>366</v>
      </c>
      <c r="H30" s="39" t="s">
        <v>345</v>
      </c>
      <c r="I30" s="39" t="s">
        <v>175</v>
      </c>
    </row>
    <row r="31" spans="2:9" ht="30" x14ac:dyDescent="0.25">
      <c r="B31" s="33"/>
      <c r="C31" s="39" t="s">
        <v>375</v>
      </c>
      <c r="D31" s="39" t="s">
        <v>375</v>
      </c>
      <c r="E31" s="39" t="s">
        <v>375</v>
      </c>
      <c r="F31" s="39" t="s">
        <v>375</v>
      </c>
      <c r="G31" s="39" t="s">
        <v>375</v>
      </c>
      <c r="H31" s="39" t="s">
        <v>366</v>
      </c>
      <c r="I31" s="39" t="s">
        <v>347</v>
      </c>
    </row>
    <row r="32" spans="2:9" ht="30" x14ac:dyDescent="0.25">
      <c r="B32" s="33"/>
      <c r="C32" s="33"/>
      <c r="D32" s="33"/>
      <c r="E32" s="33"/>
      <c r="F32" s="33"/>
      <c r="G32" s="33"/>
      <c r="H32" s="39" t="s">
        <v>375</v>
      </c>
      <c r="I32" s="39" t="s">
        <v>366</v>
      </c>
    </row>
    <row r="33" spans="2:9" x14ac:dyDescent="0.25">
      <c r="B33" s="33"/>
      <c r="C33" s="33"/>
      <c r="D33" s="33"/>
      <c r="E33" s="33"/>
      <c r="F33" s="33"/>
      <c r="G33" s="33"/>
      <c r="H33" s="33"/>
      <c r="I33" s="39" t="s">
        <v>375</v>
      </c>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9" priority="1" timePeriod="today">
      <formula>FLOOR(C5,1)=TODAY()</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221C8-F6FA-48C4-8389-E2BC68D7E55D}">
  <dimension ref="B2:I46"/>
  <sheetViews>
    <sheetView zoomScale="70" zoomScaleNormal="70" workbookViewId="0">
      <selection activeCell="I31" sqref="C31:I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22</v>
      </c>
      <c r="D3" s="24">
        <f>C3/Index!R3</f>
        <v>0.55000000000000004</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46069</v>
      </c>
      <c r="D5" s="26">
        <f>C5+1</f>
        <v>46070</v>
      </c>
      <c r="E5" s="26">
        <f t="shared" ref="E5:I5" si="0">D5+1</f>
        <v>46071</v>
      </c>
      <c r="F5" s="26">
        <f t="shared" si="0"/>
        <v>46072</v>
      </c>
      <c r="G5" s="26">
        <f t="shared" si="0"/>
        <v>46073</v>
      </c>
      <c r="H5" s="27">
        <f t="shared" si="0"/>
        <v>46074</v>
      </c>
      <c r="I5" s="27">
        <f t="shared" si="0"/>
        <v>46075</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46069</v>
      </c>
      <c r="D29" s="30">
        <f t="shared" ref="D29:I29" si="1">D5</f>
        <v>46070</v>
      </c>
      <c r="E29" s="30">
        <f t="shared" si="1"/>
        <v>46071</v>
      </c>
      <c r="F29" s="30">
        <f t="shared" si="1"/>
        <v>46072</v>
      </c>
      <c r="G29" s="30">
        <f t="shared" si="1"/>
        <v>46073</v>
      </c>
      <c r="H29" s="30">
        <f t="shared" si="1"/>
        <v>46074</v>
      </c>
      <c r="I29" s="30">
        <f t="shared" si="1"/>
        <v>46075</v>
      </c>
    </row>
    <row r="30" spans="2:9" ht="30" x14ac:dyDescent="0.25">
      <c r="B30" s="33"/>
      <c r="C30" s="39" t="s">
        <v>365</v>
      </c>
      <c r="D30" s="39" t="s">
        <v>365</v>
      </c>
      <c r="E30" s="39" t="s">
        <v>365</v>
      </c>
      <c r="F30" s="39" t="s">
        <v>365</v>
      </c>
      <c r="G30" s="39" t="s">
        <v>365</v>
      </c>
      <c r="H30" s="39" t="s">
        <v>365</v>
      </c>
      <c r="I30" s="39" t="s">
        <v>365</v>
      </c>
    </row>
    <row r="31" spans="2:9" x14ac:dyDescent="0.25">
      <c r="B31" s="33"/>
      <c r="C31" s="39" t="s">
        <v>374</v>
      </c>
      <c r="D31" s="39" t="s">
        <v>374</v>
      </c>
      <c r="E31" s="39" t="s">
        <v>374</v>
      </c>
      <c r="F31" s="39" t="s">
        <v>374</v>
      </c>
      <c r="G31" s="39" t="s">
        <v>374</v>
      </c>
      <c r="H31" s="39" t="s">
        <v>374</v>
      </c>
      <c r="I31" s="39" t="s">
        <v>374</v>
      </c>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8" priority="1" timePeriod="today">
      <formula>FLOOR(C5,1)=TODAY()</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6749A-BD06-42E0-AF43-4005F1B67294}">
  <dimension ref="B2:I46"/>
  <sheetViews>
    <sheetView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23</v>
      </c>
      <c r="D3" s="24">
        <f>C3/Index!R3</f>
        <v>0.57499999999999996</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46076</v>
      </c>
      <c r="D5" s="26">
        <f>C5+1</f>
        <v>46077</v>
      </c>
      <c r="E5" s="26">
        <f t="shared" ref="E5:I5" si="0">D5+1</f>
        <v>46078</v>
      </c>
      <c r="F5" s="26">
        <f t="shared" si="0"/>
        <v>46079</v>
      </c>
      <c r="G5" s="26">
        <f t="shared" si="0"/>
        <v>46080</v>
      </c>
      <c r="H5" s="27">
        <f t="shared" si="0"/>
        <v>46081</v>
      </c>
      <c r="I5" s="27">
        <f t="shared" si="0"/>
        <v>46082</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46076</v>
      </c>
      <c r="D29" s="30">
        <f t="shared" ref="D29:I29" si="1">D5</f>
        <v>46077</v>
      </c>
      <c r="E29" s="30">
        <f t="shared" si="1"/>
        <v>46078</v>
      </c>
      <c r="F29" s="30">
        <f t="shared" si="1"/>
        <v>46079</v>
      </c>
      <c r="G29" s="30">
        <f t="shared" si="1"/>
        <v>46080</v>
      </c>
      <c r="H29" s="30">
        <f t="shared" si="1"/>
        <v>46081</v>
      </c>
      <c r="I29" s="30">
        <f t="shared" si="1"/>
        <v>46082</v>
      </c>
    </row>
    <row r="30" spans="2:9" ht="30" x14ac:dyDescent="0.25">
      <c r="B30" s="33"/>
      <c r="C30" s="39" t="s">
        <v>364</v>
      </c>
      <c r="D30" s="39" t="s">
        <v>364</v>
      </c>
      <c r="E30" s="39" t="s">
        <v>321</v>
      </c>
      <c r="F30" s="39" t="s">
        <v>364</v>
      </c>
      <c r="G30" s="39" t="s">
        <v>364</v>
      </c>
      <c r="H30" s="39" t="s">
        <v>364</v>
      </c>
      <c r="I30" s="39" t="s">
        <v>364</v>
      </c>
    </row>
    <row r="31" spans="2:9" ht="30" x14ac:dyDescent="0.25">
      <c r="B31" s="33"/>
      <c r="C31" s="39" t="s">
        <v>373</v>
      </c>
      <c r="D31" s="39" t="s">
        <v>373</v>
      </c>
      <c r="E31" s="39" t="s">
        <v>364</v>
      </c>
      <c r="F31" s="39" t="s">
        <v>373</v>
      </c>
      <c r="G31" s="39" t="s">
        <v>373</v>
      </c>
      <c r="H31" s="39" t="s">
        <v>373</v>
      </c>
      <c r="I31" s="39" t="s">
        <v>373</v>
      </c>
    </row>
    <row r="32" spans="2:9" x14ac:dyDescent="0.25">
      <c r="B32" s="33"/>
      <c r="C32" s="33"/>
      <c r="D32" s="33"/>
      <c r="E32" s="39" t="s">
        <v>373</v>
      </c>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phoneticPr fontId="9" type="noConversion"/>
  <conditionalFormatting sqref="C5:I5 C29:I29">
    <cfRule type="timePeriod" dxfId="17" priority="1" timePeriod="today">
      <formula>FLOOR(C5,1)=TODAY()</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8B9D-D59C-48C3-A2D7-29F16A230264}">
  <dimension ref="B2:I46"/>
  <sheetViews>
    <sheetView zoomScale="70" zoomScaleNormal="70" workbookViewId="0">
      <selection activeCell="C30" sqref="C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24</v>
      </c>
      <c r="D3" s="24">
        <f>C3/Index!R3</f>
        <v>0.6</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46083</v>
      </c>
      <c r="D5" s="26">
        <f>C5+1</f>
        <v>46084</v>
      </c>
      <c r="E5" s="26">
        <f t="shared" ref="E5:I5" si="0">D5+1</f>
        <v>46085</v>
      </c>
      <c r="F5" s="26">
        <f t="shared" si="0"/>
        <v>46086</v>
      </c>
      <c r="G5" s="26">
        <f t="shared" si="0"/>
        <v>46087</v>
      </c>
      <c r="H5" s="27">
        <f t="shared" si="0"/>
        <v>46088</v>
      </c>
      <c r="I5" s="27">
        <f t="shared" si="0"/>
        <v>46089</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46083</v>
      </c>
      <c r="D29" s="30">
        <f t="shared" ref="D29:I29" si="1">D5</f>
        <v>46084</v>
      </c>
      <c r="E29" s="30">
        <f t="shared" si="1"/>
        <v>46085</v>
      </c>
      <c r="F29" s="30">
        <f t="shared" si="1"/>
        <v>46086</v>
      </c>
      <c r="G29" s="30">
        <f t="shared" si="1"/>
        <v>46087</v>
      </c>
      <c r="H29" s="30">
        <f t="shared" si="1"/>
        <v>46088</v>
      </c>
      <c r="I29" s="30">
        <f t="shared" si="1"/>
        <v>46089</v>
      </c>
    </row>
    <row r="30" spans="2:9" ht="45" x14ac:dyDescent="0.25">
      <c r="B30" s="33"/>
      <c r="C30" s="39" t="s">
        <v>176</v>
      </c>
      <c r="D30" s="39" t="s">
        <v>363</v>
      </c>
      <c r="E30" s="39" t="s">
        <v>363</v>
      </c>
      <c r="F30" s="39" t="s">
        <v>363</v>
      </c>
      <c r="G30" s="39" t="s">
        <v>363</v>
      </c>
      <c r="H30" s="39" t="s">
        <v>363</v>
      </c>
      <c r="I30" s="39" t="s">
        <v>363</v>
      </c>
    </row>
    <row r="31" spans="2:9" ht="30" x14ac:dyDescent="0.25">
      <c r="B31" s="33"/>
      <c r="C31" s="39" t="s">
        <v>363</v>
      </c>
      <c r="D31" s="39" t="s">
        <v>372</v>
      </c>
      <c r="E31" s="39" t="s">
        <v>372</v>
      </c>
      <c r="F31" s="39" t="s">
        <v>372</v>
      </c>
      <c r="G31" s="39" t="s">
        <v>372</v>
      </c>
      <c r="H31" s="39" t="s">
        <v>372</v>
      </c>
      <c r="I31" s="39" t="s">
        <v>372</v>
      </c>
    </row>
    <row r="32" spans="2:9" x14ac:dyDescent="0.25">
      <c r="B32" s="33"/>
      <c r="C32" s="39" t="s">
        <v>372</v>
      </c>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6" priority="1" timePeriod="today">
      <formula>FLOOR(C5,1)=TODAY()</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C6F8-281F-45F5-8B64-7AA0550626A3}">
  <dimension ref="B2:I46"/>
  <sheetViews>
    <sheetView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25</v>
      </c>
      <c r="D3" s="24">
        <f>C3/Index!R3</f>
        <v>0.625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46090</v>
      </c>
      <c r="D5" s="26">
        <f>C5+1</f>
        <v>46091</v>
      </c>
      <c r="E5" s="26">
        <f t="shared" ref="E5:I5" si="0">D5+1</f>
        <v>46092</v>
      </c>
      <c r="F5" s="26">
        <f t="shared" si="0"/>
        <v>46093</v>
      </c>
      <c r="G5" s="26">
        <f t="shared" si="0"/>
        <v>46094</v>
      </c>
      <c r="H5" s="27">
        <f t="shared" si="0"/>
        <v>46095</v>
      </c>
      <c r="I5" s="27">
        <f t="shared" si="0"/>
        <v>46096</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46090</v>
      </c>
      <c r="D29" s="30">
        <f t="shared" ref="D29:I29" si="1">D5</f>
        <v>46091</v>
      </c>
      <c r="E29" s="30">
        <f t="shared" si="1"/>
        <v>46092</v>
      </c>
      <c r="F29" s="30">
        <f t="shared" si="1"/>
        <v>46093</v>
      </c>
      <c r="G29" s="30">
        <f t="shared" si="1"/>
        <v>46094</v>
      </c>
      <c r="H29" s="30">
        <f t="shared" si="1"/>
        <v>46095</v>
      </c>
      <c r="I29" s="30">
        <f t="shared" si="1"/>
        <v>46096</v>
      </c>
    </row>
    <row r="30" spans="2:9" ht="30" x14ac:dyDescent="0.25">
      <c r="B30" s="33"/>
      <c r="C30" s="39" t="s">
        <v>362</v>
      </c>
      <c r="D30" s="39" t="s">
        <v>362</v>
      </c>
      <c r="E30" s="39" t="s">
        <v>362</v>
      </c>
      <c r="F30" s="39" t="s">
        <v>362</v>
      </c>
      <c r="G30" s="39" t="s">
        <v>224</v>
      </c>
      <c r="H30" s="39" t="s">
        <v>362</v>
      </c>
      <c r="I30" s="39" t="s">
        <v>362</v>
      </c>
    </row>
    <row r="31" spans="2:9" ht="30" x14ac:dyDescent="0.25">
      <c r="B31" s="33"/>
      <c r="C31" s="39" t="s">
        <v>371</v>
      </c>
      <c r="D31" s="39" t="s">
        <v>371</v>
      </c>
      <c r="E31" s="39" t="s">
        <v>371</v>
      </c>
      <c r="F31" s="39" t="s">
        <v>371</v>
      </c>
      <c r="G31" s="39" t="s">
        <v>362</v>
      </c>
      <c r="H31" s="39" t="s">
        <v>371</v>
      </c>
      <c r="I31" s="39" t="s">
        <v>371</v>
      </c>
    </row>
    <row r="32" spans="2:9" x14ac:dyDescent="0.25">
      <c r="B32" s="33"/>
      <c r="C32" s="33"/>
      <c r="D32" s="33"/>
      <c r="E32" s="33"/>
      <c r="F32" s="33"/>
      <c r="G32" s="39" t="s">
        <v>371</v>
      </c>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5" priority="1" timePeriod="today">
      <formula>FLOOR(C5,1)=TODAY()</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46DF-507B-4C4C-9B17-31595D3187EE}">
  <dimension ref="B2:I46"/>
  <sheetViews>
    <sheetView zoomScale="70" zoomScaleNormal="70" workbookViewId="0">
      <selection activeCell="G30" sqref="G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26</v>
      </c>
      <c r="D3" s="24">
        <f>C3/Index!R3</f>
        <v>0.65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46097</v>
      </c>
      <c r="D5" s="26">
        <f>C5+1</f>
        <v>46098</v>
      </c>
      <c r="E5" s="26">
        <f t="shared" ref="E5:I5" si="0">D5+1</f>
        <v>46099</v>
      </c>
      <c r="F5" s="26">
        <f t="shared" si="0"/>
        <v>46100</v>
      </c>
      <c r="G5" s="26">
        <f t="shared" si="0"/>
        <v>46101</v>
      </c>
      <c r="H5" s="27">
        <f t="shared" si="0"/>
        <v>46102</v>
      </c>
      <c r="I5" s="27">
        <f t="shared" si="0"/>
        <v>46103</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46097</v>
      </c>
      <c r="D29" s="30">
        <f t="shared" ref="D29:I29" si="1">D5</f>
        <v>46098</v>
      </c>
      <c r="E29" s="30">
        <f t="shared" si="1"/>
        <v>46099</v>
      </c>
      <c r="F29" s="30">
        <f t="shared" si="1"/>
        <v>46100</v>
      </c>
      <c r="G29" s="30">
        <f t="shared" si="1"/>
        <v>46101</v>
      </c>
      <c r="H29" s="30">
        <f t="shared" si="1"/>
        <v>46102</v>
      </c>
      <c r="I29" s="30">
        <f t="shared" si="1"/>
        <v>46103</v>
      </c>
    </row>
    <row r="30" spans="2:9" ht="30" x14ac:dyDescent="0.25">
      <c r="B30" s="33"/>
      <c r="C30" s="39" t="s">
        <v>361</v>
      </c>
      <c r="D30" s="39" t="s">
        <v>361</v>
      </c>
      <c r="E30" s="39" t="s">
        <v>361</v>
      </c>
      <c r="F30" s="39" t="s">
        <v>361</v>
      </c>
      <c r="G30" s="39" t="s">
        <v>346</v>
      </c>
      <c r="H30" s="39" t="s">
        <v>361</v>
      </c>
      <c r="I30" s="39" t="s">
        <v>361</v>
      </c>
    </row>
    <row r="31" spans="2:9" ht="30" x14ac:dyDescent="0.25">
      <c r="B31" s="33"/>
      <c r="C31" s="39" t="s">
        <v>370</v>
      </c>
      <c r="D31" s="39" t="s">
        <v>370</v>
      </c>
      <c r="E31" s="39" t="s">
        <v>370</v>
      </c>
      <c r="F31" s="39" t="s">
        <v>370</v>
      </c>
      <c r="G31" s="39" t="s">
        <v>361</v>
      </c>
      <c r="H31" s="39" t="s">
        <v>370</v>
      </c>
      <c r="I31" s="39" t="s">
        <v>370</v>
      </c>
    </row>
    <row r="32" spans="2:9" x14ac:dyDescent="0.25">
      <c r="B32" s="33"/>
      <c r="C32" s="33"/>
      <c r="D32" s="33"/>
      <c r="E32" s="33"/>
      <c r="F32" s="33"/>
      <c r="G32" s="39" t="s">
        <v>370</v>
      </c>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4" priority="1" timePeriod="today">
      <formula>FLOOR(C5,1)=TODAY()</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34AE-5C1B-4101-BC48-D5157A7A4768}">
  <dimension ref="B2:I46"/>
  <sheetViews>
    <sheetView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27</v>
      </c>
      <c r="D3" s="24">
        <f>C3/Index!R3</f>
        <v>0.67500000000000004</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46104</v>
      </c>
      <c r="D5" s="26">
        <f>C5+1</f>
        <v>46105</v>
      </c>
      <c r="E5" s="26">
        <f t="shared" ref="E5:I5" si="0">D5+1</f>
        <v>46106</v>
      </c>
      <c r="F5" s="26">
        <f t="shared" si="0"/>
        <v>46107</v>
      </c>
      <c r="G5" s="26">
        <f t="shared" si="0"/>
        <v>46108</v>
      </c>
      <c r="H5" s="27">
        <f t="shared" si="0"/>
        <v>46109</v>
      </c>
      <c r="I5" s="27">
        <f t="shared" si="0"/>
        <v>46110</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46104</v>
      </c>
      <c r="D29" s="30">
        <f t="shared" ref="D29:I29" si="1">D5</f>
        <v>46105</v>
      </c>
      <c r="E29" s="30">
        <f t="shared" si="1"/>
        <v>46106</v>
      </c>
      <c r="F29" s="30">
        <f t="shared" si="1"/>
        <v>46107</v>
      </c>
      <c r="G29" s="30">
        <f t="shared" si="1"/>
        <v>46108</v>
      </c>
      <c r="H29" s="30">
        <f t="shared" si="1"/>
        <v>46109</v>
      </c>
      <c r="I29" s="30">
        <f t="shared" si="1"/>
        <v>46110</v>
      </c>
    </row>
    <row r="30" spans="2:9" ht="30" x14ac:dyDescent="0.25">
      <c r="B30" s="33"/>
      <c r="C30" s="39" t="s">
        <v>360</v>
      </c>
      <c r="D30" s="39" t="s">
        <v>360</v>
      </c>
      <c r="E30" s="39" t="s">
        <v>360</v>
      </c>
      <c r="F30" s="39" t="s">
        <v>360</v>
      </c>
      <c r="G30" s="39" t="s">
        <v>360</v>
      </c>
      <c r="H30" s="39" t="s">
        <v>360</v>
      </c>
      <c r="I30" s="39" t="s">
        <v>360</v>
      </c>
    </row>
    <row r="31" spans="2:9" x14ac:dyDescent="0.25">
      <c r="B31" s="33"/>
      <c r="C31" s="39" t="s">
        <v>369</v>
      </c>
      <c r="D31" s="39" t="s">
        <v>369</v>
      </c>
      <c r="E31" s="39" t="s">
        <v>369</v>
      </c>
      <c r="F31" s="39" t="s">
        <v>369</v>
      </c>
      <c r="G31" s="39" t="s">
        <v>369</v>
      </c>
      <c r="H31" s="39" t="s">
        <v>369</v>
      </c>
      <c r="I31" s="39" t="s">
        <v>369</v>
      </c>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3" priority="1" timePeriod="today">
      <formula>FLOOR(C5,1)=TODAY()</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128C-8424-4555-B5EC-48FF04151D71}">
  <dimension ref="B2:I46"/>
  <sheetViews>
    <sheetView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28</v>
      </c>
      <c r="D3" s="24">
        <f>C3/Index!R3</f>
        <v>0.7</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46111</v>
      </c>
      <c r="D5" s="26">
        <f>C5+1</f>
        <v>46112</v>
      </c>
      <c r="E5" s="26">
        <f t="shared" ref="E5:I5" si="0">D5+1</f>
        <v>46113</v>
      </c>
      <c r="F5" s="26">
        <f t="shared" si="0"/>
        <v>46114</v>
      </c>
      <c r="G5" s="26">
        <f t="shared" si="0"/>
        <v>46115</v>
      </c>
      <c r="H5" s="27">
        <f t="shared" si="0"/>
        <v>46116</v>
      </c>
      <c r="I5" s="27">
        <f t="shared" si="0"/>
        <v>46117</v>
      </c>
    </row>
    <row r="6" spans="2:9" x14ac:dyDescent="0.25">
      <c r="B6" s="16">
        <v>0.33333333333333331</v>
      </c>
      <c r="H6" s="14"/>
      <c r="I6" s="14"/>
    </row>
    <row r="7" spans="2:9" x14ac:dyDescent="0.25">
      <c r="B7" s="15"/>
      <c r="H7" s="14"/>
      <c r="I7" s="14"/>
    </row>
    <row r="8" spans="2:9" x14ac:dyDescent="0.25">
      <c r="B8" s="16">
        <v>0.375</v>
      </c>
      <c r="H8" s="14"/>
      <c r="I8" s="14"/>
    </row>
    <row r="9" spans="2:9" x14ac:dyDescent="0.25">
      <c r="B9" s="15"/>
      <c r="H9" s="14"/>
      <c r="I9" s="14"/>
    </row>
    <row r="10" spans="2:9" x14ac:dyDescent="0.25">
      <c r="B10" s="16">
        <v>0.41666666666666669</v>
      </c>
      <c r="H10" s="14"/>
      <c r="I10" s="14"/>
    </row>
    <row r="11" spans="2:9" x14ac:dyDescent="0.25">
      <c r="B11" s="15"/>
      <c r="H11" s="14"/>
      <c r="I11" s="14"/>
    </row>
    <row r="12" spans="2:9" x14ac:dyDescent="0.25">
      <c r="B12" s="16">
        <v>0.45833333333333331</v>
      </c>
      <c r="H12" s="14"/>
      <c r="I12" s="14"/>
    </row>
    <row r="13" spans="2:9" x14ac:dyDescent="0.25">
      <c r="B13" s="15"/>
      <c r="H13" s="14"/>
      <c r="I13" s="14"/>
    </row>
    <row r="14" spans="2:9" x14ac:dyDescent="0.25">
      <c r="B14" s="16">
        <v>0.5</v>
      </c>
      <c r="H14" s="14"/>
      <c r="I14" s="14"/>
    </row>
    <row r="15" spans="2:9" x14ac:dyDescent="0.25">
      <c r="B15" s="15"/>
      <c r="H15" s="14"/>
      <c r="I15" s="14"/>
    </row>
    <row r="16" spans="2:9" x14ac:dyDescent="0.25">
      <c r="B16" s="16">
        <v>0.54166666666666663</v>
      </c>
      <c r="H16" s="14"/>
      <c r="I16" s="14"/>
    </row>
    <row r="17" spans="2:9" x14ac:dyDescent="0.25">
      <c r="B17" s="15"/>
      <c r="H17" s="14"/>
      <c r="I17" s="14"/>
    </row>
    <row r="18" spans="2:9" x14ac:dyDescent="0.25">
      <c r="B18" s="16">
        <v>0.58333333333333337</v>
      </c>
      <c r="H18" s="14"/>
      <c r="I18" s="14"/>
    </row>
    <row r="19" spans="2:9" x14ac:dyDescent="0.25">
      <c r="B19" s="15"/>
      <c r="H19" s="14"/>
      <c r="I19" s="14"/>
    </row>
    <row r="20" spans="2:9" x14ac:dyDescent="0.25">
      <c r="B20" s="16">
        <v>0.625</v>
      </c>
      <c r="H20" s="14"/>
      <c r="I20" s="14"/>
    </row>
    <row r="21" spans="2:9" x14ac:dyDescent="0.25">
      <c r="B21" s="15"/>
      <c r="H21" s="14"/>
      <c r="I21" s="14"/>
    </row>
    <row r="22" spans="2:9" x14ac:dyDescent="0.25">
      <c r="B22" s="16">
        <v>0.66666666666666663</v>
      </c>
      <c r="H22" s="14"/>
      <c r="I22" s="14"/>
    </row>
    <row r="23" spans="2:9" x14ac:dyDescent="0.25">
      <c r="B23" s="15"/>
      <c r="H23" s="14"/>
      <c r="I23" s="14"/>
    </row>
    <row r="24" spans="2:9" x14ac:dyDescent="0.25">
      <c r="B24" s="16">
        <v>0.70833333333333337</v>
      </c>
      <c r="H24" s="14"/>
      <c r="I24" s="14"/>
    </row>
    <row r="25" spans="2:9" x14ac:dyDescent="0.25">
      <c r="B25" s="15"/>
      <c r="H25" s="14"/>
      <c r="I25" s="14"/>
    </row>
    <row r="26" spans="2:9" x14ac:dyDescent="0.25">
      <c r="B26" s="16">
        <v>0.75</v>
      </c>
      <c r="H26" s="14"/>
      <c r="I26" s="14"/>
    </row>
    <row r="27" spans="2:9" x14ac:dyDescent="0.25">
      <c r="B27" s="15"/>
      <c r="H27" s="14"/>
      <c r="I27" s="14"/>
    </row>
    <row r="29" spans="2:9" x14ac:dyDescent="0.25">
      <c r="B29" s="19" t="s">
        <v>21</v>
      </c>
      <c r="C29" s="30">
        <f>C5</f>
        <v>46111</v>
      </c>
      <c r="D29" s="30">
        <f t="shared" ref="D29:I29" si="1">D5</f>
        <v>46112</v>
      </c>
      <c r="E29" s="30">
        <f t="shared" si="1"/>
        <v>46113</v>
      </c>
      <c r="F29" s="30">
        <f t="shared" si="1"/>
        <v>46114</v>
      </c>
      <c r="G29" s="30">
        <f t="shared" si="1"/>
        <v>46115</v>
      </c>
      <c r="H29" s="30">
        <f t="shared" si="1"/>
        <v>46116</v>
      </c>
      <c r="I29" s="30">
        <f t="shared" si="1"/>
        <v>46117</v>
      </c>
    </row>
    <row r="30" spans="2:9" ht="30" x14ac:dyDescent="0.25">
      <c r="B30" s="33"/>
      <c r="C30" s="39" t="s">
        <v>359</v>
      </c>
      <c r="D30" s="39" t="s">
        <v>359</v>
      </c>
      <c r="E30" s="39" t="s">
        <v>359</v>
      </c>
      <c r="F30" s="39" t="s">
        <v>359</v>
      </c>
      <c r="G30" s="39" t="s">
        <v>359</v>
      </c>
      <c r="H30" s="39" t="s">
        <v>252</v>
      </c>
      <c r="I30" s="39" t="s">
        <v>359</v>
      </c>
    </row>
    <row r="31" spans="2:9" ht="30" x14ac:dyDescent="0.25">
      <c r="B31" s="33"/>
      <c r="C31" s="39" t="s">
        <v>368</v>
      </c>
      <c r="D31" s="39" t="s">
        <v>368</v>
      </c>
      <c r="E31" s="39" t="s">
        <v>368</v>
      </c>
      <c r="F31" s="39" t="s">
        <v>368</v>
      </c>
      <c r="G31" s="39" t="s">
        <v>368</v>
      </c>
      <c r="H31" s="39" t="s">
        <v>359</v>
      </c>
      <c r="I31" s="39" t="s">
        <v>368</v>
      </c>
    </row>
    <row r="32" spans="2:9" x14ac:dyDescent="0.25">
      <c r="B32" s="33"/>
      <c r="C32" s="33"/>
      <c r="D32" s="33"/>
      <c r="E32" s="33"/>
      <c r="F32" s="33"/>
      <c r="G32" s="33"/>
      <c r="H32" s="39" t="s">
        <v>368</v>
      </c>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2" priority="1" timePeriod="today">
      <formula>FLOOR(C5,1)=TODAY()</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3361-9E22-4427-A103-D015D51D3247}">
  <dimension ref="B2:I46"/>
  <sheetViews>
    <sheetView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29</v>
      </c>
      <c r="D3" s="24">
        <f>C3/Index!R3</f>
        <v>0.72499999999999998</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46118</v>
      </c>
      <c r="D5" s="26">
        <f>C5+1</f>
        <v>46119</v>
      </c>
      <c r="E5" s="26">
        <f t="shared" ref="E5:I5" si="0">D5+1</f>
        <v>46120</v>
      </c>
      <c r="F5" s="26">
        <f t="shared" si="0"/>
        <v>46121</v>
      </c>
      <c r="G5" s="26">
        <f t="shared" si="0"/>
        <v>46122</v>
      </c>
      <c r="H5" s="27">
        <f t="shared" si="0"/>
        <v>46123</v>
      </c>
      <c r="I5" s="27">
        <f t="shared" si="0"/>
        <v>46124</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3"/>
      <c r="G10" s="3"/>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3"/>
      <c r="G20" s="3"/>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46118</v>
      </c>
      <c r="D29" s="30">
        <f t="shared" ref="D29:I29" si="1">D5</f>
        <v>46119</v>
      </c>
      <c r="E29" s="30">
        <f t="shared" si="1"/>
        <v>46120</v>
      </c>
      <c r="F29" s="30">
        <f t="shared" si="1"/>
        <v>46121</v>
      </c>
      <c r="G29" s="30">
        <f t="shared" si="1"/>
        <v>46122</v>
      </c>
      <c r="H29" s="30">
        <f t="shared" si="1"/>
        <v>46123</v>
      </c>
      <c r="I29" s="30">
        <f t="shared" si="1"/>
        <v>46124</v>
      </c>
    </row>
    <row r="30" spans="2:9" ht="30" x14ac:dyDescent="0.25">
      <c r="B30" s="33"/>
      <c r="C30" s="39" t="s">
        <v>358</v>
      </c>
      <c r="D30" s="39" t="s">
        <v>358</v>
      </c>
      <c r="E30" s="39" t="s">
        <v>358</v>
      </c>
      <c r="F30" s="39" t="s">
        <v>358</v>
      </c>
      <c r="G30" s="39" t="s">
        <v>358</v>
      </c>
      <c r="H30" s="39" t="s">
        <v>358</v>
      </c>
      <c r="I30" s="39" t="s">
        <v>358</v>
      </c>
    </row>
    <row r="31" spans="2:9" x14ac:dyDescent="0.25">
      <c r="B31" s="33"/>
      <c r="C31" s="33"/>
      <c r="D31" s="33"/>
      <c r="E31" s="33"/>
      <c r="F31" s="33"/>
      <c r="G31" s="33"/>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1" priority="1" timePeriod="today">
      <formula>FLOOR(C5,1)=TODAY()</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BC03E-6434-41C9-9586-1BD2990BD334}">
  <dimension ref="B2:I46"/>
  <sheetViews>
    <sheetView zoomScale="70" zoomScaleNormal="70" workbookViewId="0">
      <selection activeCell="C30" sqref="C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30</v>
      </c>
      <c r="D3" s="24">
        <f>C3/Index!R3</f>
        <v>0.75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46125</v>
      </c>
      <c r="D5" s="26">
        <f>C5+1</f>
        <v>46126</v>
      </c>
      <c r="E5" s="26">
        <f t="shared" ref="E5:I5" si="0">D5+1</f>
        <v>46127</v>
      </c>
      <c r="F5" s="26">
        <f t="shared" si="0"/>
        <v>46128</v>
      </c>
      <c r="G5" s="26">
        <f t="shared" si="0"/>
        <v>46129</v>
      </c>
      <c r="H5" s="27">
        <f t="shared" si="0"/>
        <v>46130</v>
      </c>
      <c r="I5" s="27">
        <f t="shared" si="0"/>
        <v>46131</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3"/>
      <c r="G10" s="3"/>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3"/>
      <c r="G20" s="3"/>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46125</v>
      </c>
      <c r="D29" s="30">
        <f t="shared" ref="D29:I29" si="1">D5</f>
        <v>46126</v>
      </c>
      <c r="E29" s="30">
        <f t="shared" si="1"/>
        <v>46127</v>
      </c>
      <c r="F29" s="30">
        <f t="shared" si="1"/>
        <v>46128</v>
      </c>
      <c r="G29" s="30">
        <f t="shared" si="1"/>
        <v>46129</v>
      </c>
      <c r="H29" s="30">
        <f t="shared" si="1"/>
        <v>46130</v>
      </c>
      <c r="I29" s="30">
        <f t="shared" si="1"/>
        <v>46131</v>
      </c>
    </row>
    <row r="30" spans="2:9" ht="30" x14ac:dyDescent="0.25">
      <c r="B30" s="33"/>
      <c r="C30" s="39" t="s">
        <v>357</v>
      </c>
      <c r="D30" s="39" t="s">
        <v>357</v>
      </c>
      <c r="E30" s="39" t="s">
        <v>357</v>
      </c>
      <c r="F30" s="39" t="s">
        <v>357</v>
      </c>
      <c r="G30" s="39" t="s">
        <v>357</v>
      </c>
      <c r="H30" s="39" t="s">
        <v>357</v>
      </c>
      <c r="I30" s="39" t="s">
        <v>357</v>
      </c>
    </row>
    <row r="31" spans="2:9" x14ac:dyDescent="0.25">
      <c r="B31" s="33"/>
      <c r="C31" s="33"/>
      <c r="D31" s="33"/>
      <c r="E31" s="33"/>
      <c r="F31" s="33"/>
      <c r="G31" s="33"/>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0" priority="1" timePeriod="today">
      <formula>FLOOR(C5,1)=TODAY()</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3FD6-36EA-447C-BE30-A067A2C16121}">
  <dimension ref="B2:I46"/>
  <sheetViews>
    <sheetView zoomScale="70" zoomScaleNormal="70" workbookViewId="0">
      <selection activeCell="C31" sqref="C31"/>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31</v>
      </c>
      <c r="D3" s="24">
        <f>C3/Index!R3</f>
        <v>0.77500000000000002</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46132</v>
      </c>
      <c r="D5" s="26">
        <f>C5+1</f>
        <v>46133</v>
      </c>
      <c r="E5" s="26">
        <f t="shared" ref="E5:I5" si="0">D5+1</f>
        <v>46134</v>
      </c>
      <c r="F5" s="26">
        <f t="shared" si="0"/>
        <v>46135</v>
      </c>
      <c r="G5" s="26">
        <f t="shared" si="0"/>
        <v>46136</v>
      </c>
      <c r="H5" s="27">
        <f t="shared" si="0"/>
        <v>46137</v>
      </c>
      <c r="I5" s="27">
        <f t="shared" si="0"/>
        <v>46138</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3"/>
      <c r="G10" s="3"/>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3"/>
      <c r="G20" s="3"/>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46132</v>
      </c>
      <c r="D29" s="30">
        <f t="shared" ref="D29:I29" si="1">D5</f>
        <v>46133</v>
      </c>
      <c r="E29" s="30">
        <f t="shared" si="1"/>
        <v>46134</v>
      </c>
      <c r="F29" s="30">
        <f t="shared" si="1"/>
        <v>46135</v>
      </c>
      <c r="G29" s="30">
        <f t="shared" si="1"/>
        <v>46136</v>
      </c>
      <c r="H29" s="30">
        <f t="shared" si="1"/>
        <v>46137</v>
      </c>
      <c r="I29" s="30">
        <f t="shared" si="1"/>
        <v>46138</v>
      </c>
    </row>
    <row r="30" spans="2:9" ht="30" x14ac:dyDescent="0.25">
      <c r="B30" s="33"/>
      <c r="C30" s="39" t="s">
        <v>73</v>
      </c>
      <c r="D30" s="39" t="s">
        <v>74</v>
      </c>
      <c r="E30" s="33"/>
      <c r="F30" s="33"/>
      <c r="G30" s="33"/>
      <c r="H30" s="33"/>
      <c r="I30" s="33"/>
    </row>
    <row r="31" spans="2:9" ht="30" x14ac:dyDescent="0.25">
      <c r="B31" s="33"/>
      <c r="C31" s="39" t="s">
        <v>356</v>
      </c>
      <c r="D31" s="39" t="s">
        <v>356</v>
      </c>
      <c r="E31" s="39" t="s">
        <v>356</v>
      </c>
      <c r="F31" s="39" t="s">
        <v>356</v>
      </c>
      <c r="G31" s="39" t="s">
        <v>356</v>
      </c>
      <c r="H31" s="39" t="s">
        <v>356</v>
      </c>
      <c r="I31" s="39" t="s">
        <v>356</v>
      </c>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9" priority="1" timePeriod="today">
      <formula>FLOOR(C5,1)=TODAY()</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39B2-CC50-490D-ADED-A93341B6D6F6}">
  <dimension ref="B2:I46"/>
  <sheetViews>
    <sheetView zoomScale="70" zoomScaleNormal="70" workbookViewId="0">
      <selection activeCell="C30" sqref="C30:I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32</v>
      </c>
      <c r="D3" s="24">
        <f>C3/Index!R3</f>
        <v>0.8</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46139</v>
      </c>
      <c r="D5" s="26">
        <f>C5+1</f>
        <v>46140</v>
      </c>
      <c r="E5" s="26">
        <f t="shared" ref="E5:I5" si="0">D5+1</f>
        <v>46141</v>
      </c>
      <c r="F5" s="26">
        <f t="shared" si="0"/>
        <v>46142</v>
      </c>
      <c r="G5" s="26">
        <f t="shared" si="0"/>
        <v>46143</v>
      </c>
      <c r="H5" s="27">
        <f t="shared" si="0"/>
        <v>46144</v>
      </c>
      <c r="I5" s="27">
        <f t="shared" si="0"/>
        <v>46145</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3"/>
      <c r="G10" s="3"/>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3"/>
      <c r="G20" s="3"/>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46139</v>
      </c>
      <c r="D29" s="30">
        <f t="shared" ref="D29:I29" si="1">D5</f>
        <v>46140</v>
      </c>
      <c r="E29" s="30">
        <f t="shared" si="1"/>
        <v>46141</v>
      </c>
      <c r="F29" s="30">
        <f t="shared" si="1"/>
        <v>46142</v>
      </c>
      <c r="G29" s="30">
        <f t="shared" si="1"/>
        <v>46143</v>
      </c>
      <c r="H29" s="30">
        <f t="shared" si="1"/>
        <v>46144</v>
      </c>
      <c r="I29" s="30">
        <f t="shared" si="1"/>
        <v>46145</v>
      </c>
    </row>
    <row r="30" spans="2:9" ht="30" x14ac:dyDescent="0.25">
      <c r="B30" s="33"/>
      <c r="C30" s="39" t="s">
        <v>355</v>
      </c>
      <c r="D30" s="39" t="s">
        <v>355</v>
      </c>
      <c r="E30" s="39" t="s">
        <v>355</v>
      </c>
      <c r="F30" s="39" t="s">
        <v>355</v>
      </c>
      <c r="G30" s="39" t="s">
        <v>355</v>
      </c>
      <c r="H30" s="39" t="s">
        <v>355</v>
      </c>
      <c r="I30" s="39" t="s">
        <v>355</v>
      </c>
    </row>
    <row r="31" spans="2:9" x14ac:dyDescent="0.25">
      <c r="B31" s="33"/>
      <c r="C31" s="33"/>
      <c r="D31" s="33"/>
      <c r="E31" s="33"/>
      <c r="F31" s="33"/>
      <c r="G31" s="33"/>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8" priority="1" timePeriod="today">
      <formula>FLOOR(C5,1)=TODAY()</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6DF62-278B-4DAE-B3F2-0A6EE1B67276}">
  <dimension ref="B2:I46"/>
  <sheetViews>
    <sheetView zoomScale="70" zoomScaleNormal="70" workbookViewId="0">
      <selection activeCell="C30" sqref="C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33</v>
      </c>
      <c r="D3" s="24">
        <f>C3/Index!R3</f>
        <v>0.82499999999999996</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46146</v>
      </c>
      <c r="D5" s="26">
        <f>C5+1</f>
        <v>46147</v>
      </c>
      <c r="E5" s="26">
        <f t="shared" ref="E5:I5" si="0">D5+1</f>
        <v>46148</v>
      </c>
      <c r="F5" s="26">
        <f t="shared" si="0"/>
        <v>46149</v>
      </c>
      <c r="G5" s="26">
        <f t="shared" si="0"/>
        <v>46150</v>
      </c>
      <c r="H5" s="27">
        <f t="shared" si="0"/>
        <v>46151</v>
      </c>
      <c r="I5" s="27">
        <f t="shared" si="0"/>
        <v>46152</v>
      </c>
    </row>
    <row r="6" spans="2:9" x14ac:dyDescent="0.25">
      <c r="B6" s="16">
        <v>0.33333333333333331</v>
      </c>
      <c r="H6" s="14"/>
      <c r="I6" s="14"/>
    </row>
    <row r="7" spans="2:9" x14ac:dyDescent="0.25">
      <c r="B7" s="15"/>
      <c r="H7" s="14"/>
      <c r="I7" s="14"/>
    </row>
    <row r="8" spans="2:9" x14ac:dyDescent="0.25">
      <c r="B8" s="16">
        <v>0.375</v>
      </c>
      <c r="C8" s="5" t="s">
        <v>6</v>
      </c>
      <c r="G8" s="5" t="s">
        <v>6</v>
      </c>
      <c r="H8" s="42" t="s">
        <v>78</v>
      </c>
      <c r="I8" s="14"/>
    </row>
    <row r="9" spans="2:9" x14ac:dyDescent="0.25">
      <c r="B9" s="15"/>
      <c r="C9" s="4">
        <v>204</v>
      </c>
      <c r="G9" s="4">
        <v>204</v>
      </c>
      <c r="H9" s="14"/>
      <c r="I9" s="14"/>
    </row>
    <row r="10" spans="2:9" x14ac:dyDescent="0.25">
      <c r="B10" s="16">
        <v>0.41666666666666669</v>
      </c>
      <c r="C10" s="40" t="s">
        <v>46</v>
      </c>
      <c r="G10" s="40" t="s">
        <v>75</v>
      </c>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40" t="s">
        <v>44</v>
      </c>
      <c r="G20" s="40" t="s">
        <v>76</v>
      </c>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46146</v>
      </c>
      <c r="D29" s="30">
        <f t="shared" ref="D29:I29" si="1">D5</f>
        <v>46147</v>
      </c>
      <c r="E29" s="30">
        <f t="shared" si="1"/>
        <v>46148</v>
      </c>
      <c r="F29" s="30">
        <f t="shared" si="1"/>
        <v>46149</v>
      </c>
      <c r="G29" s="30">
        <f t="shared" si="1"/>
        <v>46150</v>
      </c>
      <c r="H29" s="30">
        <f t="shared" si="1"/>
        <v>46151</v>
      </c>
      <c r="I29" s="30">
        <f t="shared" si="1"/>
        <v>46152</v>
      </c>
    </row>
    <row r="30" spans="2:9" ht="30" x14ac:dyDescent="0.25">
      <c r="B30" s="33"/>
      <c r="C30" s="39" t="s">
        <v>354</v>
      </c>
      <c r="D30" s="39" t="s">
        <v>354</v>
      </c>
      <c r="E30" s="39" t="s">
        <v>354</v>
      </c>
      <c r="F30" s="39" t="s">
        <v>354</v>
      </c>
      <c r="G30" s="39" t="s">
        <v>354</v>
      </c>
      <c r="H30" s="39" t="s">
        <v>77</v>
      </c>
      <c r="I30" s="39" t="s">
        <v>354</v>
      </c>
    </row>
    <row r="31" spans="2:9" ht="30" x14ac:dyDescent="0.25">
      <c r="B31" s="33"/>
      <c r="C31" s="33"/>
      <c r="D31" s="33"/>
      <c r="E31" s="33"/>
      <c r="F31" s="33"/>
      <c r="G31" s="33"/>
      <c r="H31" s="39" t="s">
        <v>354</v>
      </c>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7" priority="1" timePeriod="today">
      <formula>FLOOR(C5,1)=TODAY()</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CF762-7209-48DD-86EA-F02EEB8DD192}">
  <dimension ref="B2:I46"/>
  <sheetViews>
    <sheetView zoomScale="70" zoomScaleNormal="70" workbookViewId="0">
      <selection activeCell="D30" sqref="D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34</v>
      </c>
      <c r="D3" s="24">
        <f>C3/Index!R3</f>
        <v>0.85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46153</v>
      </c>
      <c r="D5" s="26">
        <f>C5+1</f>
        <v>46154</v>
      </c>
      <c r="E5" s="26">
        <f t="shared" ref="E5:I5" si="0">D5+1</f>
        <v>46155</v>
      </c>
      <c r="F5" s="26">
        <f t="shared" si="0"/>
        <v>46156</v>
      </c>
      <c r="G5" s="26">
        <f t="shared" si="0"/>
        <v>46157</v>
      </c>
      <c r="H5" s="27">
        <f t="shared" si="0"/>
        <v>46158</v>
      </c>
      <c r="I5" s="27">
        <f t="shared" si="0"/>
        <v>46159</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40" t="s">
        <v>46</v>
      </c>
      <c r="G10" s="40" t="s">
        <v>75</v>
      </c>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40" t="s">
        <v>44</v>
      </c>
      <c r="G20" s="40" t="s">
        <v>46</v>
      </c>
      <c r="H20" s="14"/>
      <c r="I20" s="14"/>
    </row>
    <row r="21" spans="2:9" x14ac:dyDescent="0.25">
      <c r="B21" s="15"/>
      <c r="C21" s="3"/>
      <c r="G21" s="40" t="s">
        <v>79</v>
      </c>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46153</v>
      </c>
      <c r="D29" s="30">
        <f t="shared" ref="D29:I29" si="1">D5</f>
        <v>46154</v>
      </c>
      <c r="E29" s="30">
        <f t="shared" si="1"/>
        <v>46155</v>
      </c>
      <c r="F29" s="30">
        <f t="shared" si="1"/>
        <v>46156</v>
      </c>
      <c r="G29" s="30">
        <f t="shared" si="1"/>
        <v>46157</v>
      </c>
      <c r="H29" s="30">
        <f t="shared" si="1"/>
        <v>46158</v>
      </c>
      <c r="I29" s="30">
        <f t="shared" si="1"/>
        <v>46159</v>
      </c>
    </row>
    <row r="30" spans="2:9" ht="45" x14ac:dyDescent="0.25">
      <c r="B30" s="33"/>
      <c r="C30" s="39" t="s">
        <v>177</v>
      </c>
      <c r="D30" s="39" t="s">
        <v>353</v>
      </c>
      <c r="E30" s="39" t="s">
        <v>353</v>
      </c>
      <c r="F30" s="39" t="s">
        <v>353</v>
      </c>
      <c r="G30" s="39" t="s">
        <v>353</v>
      </c>
      <c r="H30" s="39" t="s">
        <v>353</v>
      </c>
      <c r="I30" s="39" t="s">
        <v>353</v>
      </c>
    </row>
    <row r="31" spans="2:9" ht="45" x14ac:dyDescent="0.25">
      <c r="B31" s="33"/>
      <c r="C31" s="39" t="s">
        <v>348</v>
      </c>
      <c r="D31" s="33"/>
      <c r="E31" s="33"/>
      <c r="F31" s="33"/>
      <c r="G31" s="33"/>
      <c r="H31" s="33"/>
      <c r="I31" s="33"/>
    </row>
    <row r="32" spans="2:9" ht="30" x14ac:dyDescent="0.25">
      <c r="B32" s="33"/>
      <c r="C32" s="39" t="s">
        <v>353</v>
      </c>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6" priority="1" timePeriod="today">
      <formula>FLOOR(C5,1)=TODAY()</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9555B-B31D-4B8E-B8B7-3E108EEA2C9C}">
  <dimension ref="B2:I46"/>
  <sheetViews>
    <sheetView topLeftCell="B2" zoomScale="70" zoomScaleNormal="70" workbookViewId="0">
      <selection activeCell="I30" sqref="I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35</v>
      </c>
      <c r="D3" s="24">
        <f>C3/Index!R3</f>
        <v>0.875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46160</v>
      </c>
      <c r="D5" s="26">
        <f>C5+1</f>
        <v>46161</v>
      </c>
      <c r="E5" s="26">
        <f t="shared" ref="E5:I5" si="0">D5+1</f>
        <v>46162</v>
      </c>
      <c r="F5" s="26">
        <f t="shared" si="0"/>
        <v>46163</v>
      </c>
      <c r="G5" s="26">
        <f t="shared" si="0"/>
        <v>46164</v>
      </c>
      <c r="H5" s="27">
        <f t="shared" si="0"/>
        <v>46165</v>
      </c>
      <c r="I5" s="27">
        <f t="shared" si="0"/>
        <v>46166</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40" t="s">
        <v>46</v>
      </c>
      <c r="G10" s="40" t="s">
        <v>75</v>
      </c>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40" t="s">
        <v>44</v>
      </c>
      <c r="G20" s="40" t="s">
        <v>46</v>
      </c>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46160</v>
      </c>
      <c r="D29" s="30">
        <f t="shared" ref="D29:I29" si="1">D5</f>
        <v>46161</v>
      </c>
      <c r="E29" s="30">
        <f t="shared" si="1"/>
        <v>46162</v>
      </c>
      <c r="F29" s="30">
        <f t="shared" si="1"/>
        <v>46163</v>
      </c>
      <c r="G29" s="30">
        <f t="shared" si="1"/>
        <v>46164</v>
      </c>
      <c r="H29" s="30">
        <f t="shared" si="1"/>
        <v>46165</v>
      </c>
      <c r="I29" s="30">
        <f t="shared" si="1"/>
        <v>46166</v>
      </c>
    </row>
    <row r="30" spans="2:9" ht="30" x14ac:dyDescent="0.25">
      <c r="B30" s="33"/>
      <c r="C30" s="33"/>
      <c r="D30" s="39" t="s">
        <v>178</v>
      </c>
      <c r="E30" s="33"/>
      <c r="F30" s="33"/>
      <c r="G30" s="33"/>
      <c r="H30" s="33"/>
      <c r="I30" s="39" t="s">
        <v>80</v>
      </c>
    </row>
    <row r="31" spans="2:9" ht="30" x14ac:dyDescent="0.25">
      <c r="B31" s="33"/>
      <c r="C31" s="39" t="s">
        <v>352</v>
      </c>
      <c r="D31" s="39" t="s">
        <v>352</v>
      </c>
      <c r="E31" s="39" t="s">
        <v>352</v>
      </c>
      <c r="F31" s="39" t="s">
        <v>352</v>
      </c>
      <c r="G31" s="39" t="s">
        <v>352</v>
      </c>
      <c r="H31" s="39" t="s">
        <v>352</v>
      </c>
      <c r="I31" s="39" t="s">
        <v>352</v>
      </c>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5" priority="1" timePeriod="today">
      <formula>FLOOR(C5,1)=TODAY()</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2180-028A-4F5D-9F99-8ADE688413BD}">
  <dimension ref="B2:I46"/>
  <sheetViews>
    <sheetView tabSelected="1" zoomScale="70" zoomScaleNormal="70" workbookViewId="0">
      <selection activeCell="C30" sqref="C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36</v>
      </c>
      <c r="D3" s="24">
        <f>C3/Index!R3</f>
        <v>0.9</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46167</v>
      </c>
      <c r="D5" s="26">
        <f>C5+1</f>
        <v>46168</v>
      </c>
      <c r="E5" s="26">
        <f t="shared" ref="E5:I5" si="0">D5+1</f>
        <v>46169</v>
      </c>
      <c r="F5" s="26">
        <f t="shared" si="0"/>
        <v>46170</v>
      </c>
      <c r="G5" s="26">
        <f t="shared" si="0"/>
        <v>46171</v>
      </c>
      <c r="H5" s="27">
        <f t="shared" si="0"/>
        <v>46172</v>
      </c>
      <c r="I5" s="27">
        <f t="shared" si="0"/>
        <v>46173</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40" t="s">
        <v>46</v>
      </c>
      <c r="G10" s="3"/>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40" t="s">
        <v>44</v>
      </c>
      <c r="G20" s="3"/>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46167</v>
      </c>
      <c r="D29" s="30">
        <f t="shared" ref="D29:I29" si="1">D5</f>
        <v>46168</v>
      </c>
      <c r="E29" s="30">
        <f t="shared" si="1"/>
        <v>46169</v>
      </c>
      <c r="F29" s="30">
        <f t="shared" si="1"/>
        <v>46170</v>
      </c>
      <c r="G29" s="30">
        <f t="shared" si="1"/>
        <v>46171</v>
      </c>
      <c r="H29" s="30">
        <f t="shared" si="1"/>
        <v>46172</v>
      </c>
      <c r="I29" s="30">
        <f t="shared" si="1"/>
        <v>46173</v>
      </c>
    </row>
    <row r="30" spans="2:9" ht="30" x14ac:dyDescent="0.25">
      <c r="B30" s="33"/>
      <c r="C30" s="33" t="s">
        <v>378</v>
      </c>
      <c r="D30" s="33"/>
      <c r="E30" s="33"/>
      <c r="F30" s="33"/>
      <c r="G30" s="39" t="s">
        <v>81</v>
      </c>
      <c r="H30" s="33"/>
      <c r="I30" s="33"/>
    </row>
    <row r="31" spans="2:9" ht="30" x14ac:dyDescent="0.25">
      <c r="B31" s="33"/>
      <c r="C31" s="33"/>
      <c r="D31" s="33"/>
      <c r="E31" s="33"/>
      <c r="F31" s="33"/>
      <c r="G31" s="39" t="s">
        <v>180</v>
      </c>
      <c r="H31" s="33"/>
      <c r="I31" s="33"/>
    </row>
    <row r="32" spans="2:9" ht="30" x14ac:dyDescent="0.25">
      <c r="B32" s="33"/>
      <c r="C32" s="39" t="s">
        <v>351</v>
      </c>
      <c r="D32" s="39" t="s">
        <v>351</v>
      </c>
      <c r="E32" s="39" t="s">
        <v>351</v>
      </c>
      <c r="F32" s="39" t="s">
        <v>351</v>
      </c>
      <c r="G32" s="39" t="s">
        <v>351</v>
      </c>
      <c r="H32" s="39" t="s">
        <v>351</v>
      </c>
      <c r="I32" s="39" t="s">
        <v>351</v>
      </c>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4" priority="1" timePeriod="today">
      <formula>FLOOR(C5,1)=TODAY()</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35C4-140E-4363-9BB2-C9823E5610B7}">
  <dimension ref="B2:I46"/>
  <sheetViews>
    <sheetView zoomScale="70" zoomScaleNormal="70" workbookViewId="0">
      <selection activeCell="C30" sqref="C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37</v>
      </c>
      <c r="D3" s="24">
        <f>C3/Index!R3</f>
        <v>0.92500000000000004</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46174</v>
      </c>
      <c r="D5" s="26">
        <f>C5+1</f>
        <v>46175</v>
      </c>
      <c r="E5" s="26">
        <f t="shared" ref="E5:I5" si="0">D5+1</f>
        <v>46176</v>
      </c>
      <c r="F5" s="26">
        <f t="shared" si="0"/>
        <v>46177</v>
      </c>
      <c r="G5" s="26">
        <f t="shared" si="0"/>
        <v>46178</v>
      </c>
      <c r="H5" s="27">
        <f t="shared" si="0"/>
        <v>46179</v>
      </c>
      <c r="I5" s="27">
        <f t="shared" si="0"/>
        <v>46180</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40" t="s">
        <v>46</v>
      </c>
      <c r="G10" s="40" t="s">
        <v>75</v>
      </c>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40" t="s">
        <v>44</v>
      </c>
      <c r="G20" s="40" t="s">
        <v>46</v>
      </c>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46174</v>
      </c>
      <c r="D29" s="30">
        <f t="shared" ref="D29:I29" si="1">D5</f>
        <v>46175</v>
      </c>
      <c r="E29" s="30">
        <f t="shared" si="1"/>
        <v>46176</v>
      </c>
      <c r="F29" s="30">
        <f t="shared" si="1"/>
        <v>46177</v>
      </c>
      <c r="G29" s="30">
        <f t="shared" si="1"/>
        <v>46178</v>
      </c>
      <c r="H29" s="30">
        <f t="shared" si="1"/>
        <v>46179</v>
      </c>
      <c r="I29" s="30">
        <f t="shared" si="1"/>
        <v>46180</v>
      </c>
    </row>
    <row r="30" spans="2:9" ht="30" x14ac:dyDescent="0.25">
      <c r="B30" s="33"/>
      <c r="C30" s="39" t="s">
        <v>350</v>
      </c>
      <c r="D30" s="39" t="s">
        <v>350</v>
      </c>
      <c r="E30" s="39" t="s">
        <v>350</v>
      </c>
      <c r="F30" s="39" t="s">
        <v>350</v>
      </c>
      <c r="G30" s="39" t="s">
        <v>350</v>
      </c>
      <c r="H30" s="39" t="s">
        <v>350</v>
      </c>
      <c r="I30" s="39" t="s">
        <v>350</v>
      </c>
    </row>
    <row r="31" spans="2:9" x14ac:dyDescent="0.25">
      <c r="B31" s="33"/>
      <c r="C31" s="33"/>
      <c r="D31" s="33"/>
      <c r="E31" s="33"/>
      <c r="F31" s="33"/>
      <c r="G31" s="33"/>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phoneticPr fontId="9" type="noConversion"/>
  <conditionalFormatting sqref="C5:I5 C29:I29">
    <cfRule type="timePeriod" dxfId="3" priority="1" timePeriod="today">
      <formula>FLOOR(C5,1)=TODAY()</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4AFD-6E8F-4856-8C19-5D1A19F22499}">
  <dimension ref="B2:I46"/>
  <sheetViews>
    <sheetView topLeftCell="B1" zoomScale="70" zoomScaleNormal="70" workbookViewId="0">
      <selection activeCell="I30" sqref="I30"/>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38</v>
      </c>
      <c r="D3" s="24">
        <f>C3/Index!R3</f>
        <v>0.95</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46181</v>
      </c>
      <c r="D5" s="26">
        <f>C5+1</f>
        <v>46182</v>
      </c>
      <c r="E5" s="26">
        <f t="shared" ref="E5:I5" si="0">D5+1</f>
        <v>46183</v>
      </c>
      <c r="F5" s="26">
        <f t="shared" si="0"/>
        <v>46184</v>
      </c>
      <c r="G5" s="26">
        <f t="shared" si="0"/>
        <v>46185</v>
      </c>
      <c r="H5" s="27">
        <f t="shared" si="0"/>
        <v>46186</v>
      </c>
      <c r="I5" s="27">
        <f t="shared" si="0"/>
        <v>46187</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3"/>
      <c r="G10" s="3"/>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3"/>
      <c r="G20" s="3"/>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46181</v>
      </c>
      <c r="D29" s="30">
        <f t="shared" ref="D29:I29" si="1">D5</f>
        <v>46182</v>
      </c>
      <c r="E29" s="30">
        <f t="shared" si="1"/>
        <v>46183</v>
      </c>
      <c r="F29" s="30">
        <f t="shared" si="1"/>
        <v>46184</v>
      </c>
      <c r="G29" s="30">
        <f t="shared" si="1"/>
        <v>46185</v>
      </c>
      <c r="H29" s="30">
        <f t="shared" si="1"/>
        <v>46186</v>
      </c>
      <c r="I29" s="30">
        <f t="shared" si="1"/>
        <v>46187</v>
      </c>
    </row>
    <row r="30" spans="2:9" ht="30" x14ac:dyDescent="0.25">
      <c r="B30" s="33"/>
      <c r="C30" s="39" t="s">
        <v>82</v>
      </c>
      <c r="D30" s="33"/>
      <c r="E30" s="33"/>
      <c r="F30" s="33"/>
      <c r="G30" s="39" t="s">
        <v>83</v>
      </c>
      <c r="H30" s="33"/>
      <c r="I30" s="39" t="s">
        <v>84</v>
      </c>
    </row>
    <row r="31" spans="2:9" x14ac:dyDescent="0.25">
      <c r="B31" s="33"/>
      <c r="C31" s="39" t="s">
        <v>349</v>
      </c>
      <c r="D31" s="39" t="s">
        <v>349</v>
      </c>
      <c r="E31" s="39" t="s">
        <v>349</v>
      </c>
      <c r="F31" s="39" t="s">
        <v>349</v>
      </c>
      <c r="G31" s="39" t="s">
        <v>349</v>
      </c>
      <c r="H31" s="39" t="s">
        <v>349</v>
      </c>
      <c r="I31" s="39" t="s">
        <v>349</v>
      </c>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2" priority="1" timePeriod="today">
      <formula>FLOOR(C5,1)=TODAY()</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DDA2-4BC2-427B-90C8-AC6D512EFACE}">
  <dimension ref="B2:I46"/>
  <sheetViews>
    <sheetView zoomScale="70" zoomScaleNormal="70" workbookViewId="0">
      <selection activeCell="D7" sqref="D7:F25"/>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39</v>
      </c>
      <c r="D3" s="24">
        <f>C3/Index!R3</f>
        <v>0.97499999999999998</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46188</v>
      </c>
      <c r="D5" s="26">
        <f>C5+1</f>
        <v>46189</v>
      </c>
      <c r="E5" s="26">
        <f t="shared" ref="E5:I5" si="0">D5+1</f>
        <v>46190</v>
      </c>
      <c r="F5" s="26">
        <f t="shared" si="0"/>
        <v>46191</v>
      </c>
      <c r="G5" s="26">
        <f t="shared" si="0"/>
        <v>46192</v>
      </c>
      <c r="H5" s="27">
        <f t="shared" si="0"/>
        <v>46193</v>
      </c>
      <c r="I5" s="27">
        <f t="shared" si="0"/>
        <v>46194</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3"/>
      <c r="G10" s="3"/>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3"/>
      <c r="G20" s="3"/>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46188</v>
      </c>
      <c r="D29" s="30">
        <f t="shared" ref="D29:I29" si="1">D5</f>
        <v>46189</v>
      </c>
      <c r="E29" s="30">
        <f t="shared" si="1"/>
        <v>46190</v>
      </c>
      <c r="F29" s="30">
        <f t="shared" si="1"/>
        <v>46191</v>
      </c>
      <c r="G29" s="30">
        <f t="shared" si="1"/>
        <v>46192</v>
      </c>
      <c r="H29" s="30">
        <f t="shared" si="1"/>
        <v>46193</v>
      </c>
      <c r="I29" s="30">
        <f t="shared" si="1"/>
        <v>46194</v>
      </c>
    </row>
    <row r="30" spans="2:9" x14ac:dyDescent="0.25">
      <c r="B30" s="33"/>
      <c r="C30" s="39" t="s">
        <v>85</v>
      </c>
      <c r="D30" s="39" t="s">
        <v>85</v>
      </c>
      <c r="E30" s="33"/>
      <c r="F30" s="33"/>
      <c r="G30" s="33"/>
      <c r="H30" s="33"/>
      <c r="I30" s="33"/>
    </row>
    <row r="31" spans="2:9" x14ac:dyDescent="0.25">
      <c r="B31" s="33"/>
      <c r="C31" s="33"/>
      <c r="D31" s="33"/>
      <c r="E31" s="33"/>
      <c r="F31" s="33"/>
      <c r="G31" s="33"/>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1" priority="1" timePeriod="today">
      <formula>FLOOR(C5,1)=TODAY()</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3211F-71C8-473B-B6C0-5C3DB387ED5E}">
  <dimension ref="B2:I46"/>
  <sheetViews>
    <sheetView topLeftCell="B1" zoomScale="70" zoomScaleNormal="70" workbookViewId="0">
      <selection activeCell="D7" sqref="D7:F25"/>
    </sheetView>
  </sheetViews>
  <sheetFormatPr defaultRowHeight="15" x14ac:dyDescent="0.25"/>
  <cols>
    <col min="2" max="9" width="30.7109375" customWidth="1"/>
  </cols>
  <sheetData>
    <row r="2" spans="2:9" x14ac:dyDescent="0.25">
      <c r="B2" s="20"/>
      <c r="C2" s="23"/>
      <c r="D2" s="20"/>
      <c r="E2" s="20"/>
      <c r="F2" s="20"/>
      <c r="G2" s="20"/>
      <c r="H2" s="20"/>
      <c r="I2" s="20"/>
    </row>
    <row r="3" spans="2:9" ht="26.25" x14ac:dyDescent="0.4">
      <c r="B3" s="21" t="s">
        <v>22</v>
      </c>
      <c r="C3" s="22">
        <v>40</v>
      </c>
      <c r="D3" s="24">
        <f>C3/Index!R3</f>
        <v>1</v>
      </c>
      <c r="E3" s="20"/>
      <c r="F3" s="20"/>
      <c r="G3" s="20"/>
      <c r="H3" s="20"/>
      <c r="I3" s="20"/>
    </row>
    <row r="4" spans="2:9" ht="19.5" x14ac:dyDescent="0.3">
      <c r="B4" s="15"/>
      <c r="C4" s="17" t="s">
        <v>14</v>
      </c>
      <c r="D4" s="17" t="s">
        <v>15</v>
      </c>
      <c r="E4" s="17" t="s">
        <v>16</v>
      </c>
      <c r="F4" s="17" t="s">
        <v>17</v>
      </c>
      <c r="G4" s="17" t="s">
        <v>18</v>
      </c>
      <c r="H4" s="13" t="s">
        <v>19</v>
      </c>
      <c r="I4" s="13" t="s">
        <v>20</v>
      </c>
    </row>
    <row r="5" spans="2:9" x14ac:dyDescent="0.25">
      <c r="B5" s="15"/>
      <c r="C5" s="26">
        <f>Index!R4+(7*(C3-1))</f>
        <v>46195</v>
      </c>
      <c r="D5" s="26">
        <f>C5+1</f>
        <v>46196</v>
      </c>
      <c r="E5" s="26">
        <f t="shared" ref="E5:I5" si="0">D5+1</f>
        <v>46197</v>
      </c>
      <c r="F5" s="26">
        <f t="shared" si="0"/>
        <v>46198</v>
      </c>
      <c r="G5" s="26">
        <f t="shared" si="0"/>
        <v>46199</v>
      </c>
      <c r="H5" s="27">
        <f t="shared" si="0"/>
        <v>46200</v>
      </c>
      <c r="I5" s="27">
        <f t="shared" si="0"/>
        <v>46201</v>
      </c>
    </row>
    <row r="6" spans="2:9" x14ac:dyDescent="0.25">
      <c r="B6" s="16">
        <v>0.33333333333333331</v>
      </c>
      <c r="H6" s="14"/>
      <c r="I6" s="14"/>
    </row>
    <row r="7" spans="2:9" x14ac:dyDescent="0.25">
      <c r="B7" s="15"/>
      <c r="H7" s="14"/>
      <c r="I7" s="14"/>
    </row>
    <row r="8" spans="2:9" x14ac:dyDescent="0.25">
      <c r="B8" s="16">
        <v>0.375</v>
      </c>
      <c r="C8" s="5" t="s">
        <v>6</v>
      </c>
      <c r="G8" s="5" t="s">
        <v>6</v>
      </c>
      <c r="H8" s="14"/>
      <c r="I8" s="14"/>
    </row>
    <row r="9" spans="2:9" x14ac:dyDescent="0.25">
      <c r="B9" s="15"/>
      <c r="C9" s="4">
        <v>204</v>
      </c>
      <c r="G9" s="4">
        <v>204</v>
      </c>
      <c r="H9" s="14"/>
      <c r="I9" s="14"/>
    </row>
    <row r="10" spans="2:9" x14ac:dyDescent="0.25">
      <c r="B10" s="16">
        <v>0.41666666666666669</v>
      </c>
      <c r="C10" s="3"/>
      <c r="G10" s="3"/>
      <c r="H10" s="14"/>
      <c r="I10" s="14"/>
    </row>
    <row r="11" spans="2:9" x14ac:dyDescent="0.25">
      <c r="B11" s="15"/>
      <c r="C11" s="3"/>
      <c r="G11" s="3"/>
      <c r="H11" s="14"/>
      <c r="I11" s="14"/>
    </row>
    <row r="12" spans="2:9" x14ac:dyDescent="0.25">
      <c r="B12" s="16">
        <v>0.45833333333333331</v>
      </c>
      <c r="C12" s="3"/>
      <c r="G12" s="3"/>
      <c r="H12" s="14"/>
      <c r="I12" s="14"/>
    </row>
    <row r="13" spans="2:9" x14ac:dyDescent="0.25">
      <c r="B13" s="15"/>
      <c r="C13" s="3"/>
      <c r="G13" s="3"/>
      <c r="H13" s="14"/>
      <c r="I13" s="14"/>
    </row>
    <row r="14" spans="2:9" x14ac:dyDescent="0.25">
      <c r="B14" s="16">
        <v>0.5</v>
      </c>
      <c r="C14" s="3"/>
      <c r="G14" s="3"/>
      <c r="H14" s="14"/>
      <c r="I14" s="14"/>
    </row>
    <row r="15" spans="2:9" x14ac:dyDescent="0.25">
      <c r="B15" s="15"/>
      <c r="C15" s="3"/>
      <c r="G15" s="3"/>
      <c r="H15" s="14"/>
      <c r="I15" s="14"/>
    </row>
    <row r="16" spans="2:9" x14ac:dyDescent="0.25">
      <c r="B16" s="16">
        <v>0.54166666666666663</v>
      </c>
      <c r="H16" s="14"/>
      <c r="I16" s="14"/>
    </row>
    <row r="17" spans="2:9" x14ac:dyDescent="0.25">
      <c r="B17" s="15"/>
      <c r="H17" s="14"/>
      <c r="I17" s="14"/>
    </row>
    <row r="18" spans="2:9" x14ac:dyDescent="0.25">
      <c r="B18" s="16">
        <v>0.58333333333333337</v>
      </c>
      <c r="C18" s="5" t="s">
        <v>6</v>
      </c>
      <c r="G18" s="5" t="s">
        <v>6</v>
      </c>
      <c r="H18" s="14"/>
      <c r="I18" s="14"/>
    </row>
    <row r="19" spans="2:9" x14ac:dyDescent="0.25">
      <c r="B19" s="15"/>
      <c r="C19" s="4">
        <v>204</v>
      </c>
      <c r="G19" s="4">
        <v>204</v>
      </c>
      <c r="H19" s="14"/>
      <c r="I19" s="14"/>
    </row>
    <row r="20" spans="2:9" x14ac:dyDescent="0.25">
      <c r="B20" s="16">
        <v>0.625</v>
      </c>
      <c r="C20" s="3"/>
      <c r="G20" s="3"/>
      <c r="H20" s="14"/>
      <c r="I20" s="14"/>
    </row>
    <row r="21" spans="2:9" x14ac:dyDescent="0.25">
      <c r="B21" s="15"/>
      <c r="C21" s="3"/>
      <c r="G21" s="3"/>
      <c r="H21" s="14"/>
      <c r="I21" s="14"/>
    </row>
    <row r="22" spans="2:9" x14ac:dyDescent="0.25">
      <c r="B22" s="16">
        <v>0.66666666666666663</v>
      </c>
      <c r="C22" s="3"/>
      <c r="G22" s="3"/>
      <c r="H22" s="14"/>
      <c r="I22" s="14"/>
    </row>
    <row r="23" spans="2:9" x14ac:dyDescent="0.25">
      <c r="B23" s="15"/>
      <c r="C23" s="3"/>
      <c r="G23" s="3"/>
      <c r="H23" s="14"/>
      <c r="I23" s="14"/>
    </row>
    <row r="24" spans="2:9" x14ac:dyDescent="0.25">
      <c r="B24" s="16">
        <v>0.70833333333333337</v>
      </c>
      <c r="C24" s="3"/>
      <c r="G24" s="3"/>
      <c r="H24" s="14"/>
      <c r="I24" s="14"/>
    </row>
    <row r="25" spans="2:9" x14ac:dyDescent="0.25">
      <c r="B25" s="15"/>
      <c r="C25" s="3"/>
      <c r="G25" s="3"/>
      <c r="H25" s="14"/>
      <c r="I25" s="14"/>
    </row>
    <row r="26" spans="2:9" x14ac:dyDescent="0.25">
      <c r="B26" s="16">
        <v>0.75</v>
      </c>
      <c r="H26" s="14"/>
      <c r="I26" s="14"/>
    </row>
    <row r="27" spans="2:9" x14ac:dyDescent="0.25">
      <c r="B27" s="15"/>
      <c r="H27" s="14"/>
      <c r="I27" s="14"/>
    </row>
    <row r="29" spans="2:9" x14ac:dyDescent="0.25">
      <c r="B29" s="19" t="s">
        <v>21</v>
      </c>
      <c r="C29" s="30">
        <f>C5</f>
        <v>46195</v>
      </c>
      <c r="D29" s="30">
        <f t="shared" ref="D29:I29" si="1">D5</f>
        <v>46196</v>
      </c>
      <c r="E29" s="30">
        <f t="shared" si="1"/>
        <v>46197</v>
      </c>
      <c r="F29" s="30">
        <f t="shared" si="1"/>
        <v>46198</v>
      </c>
      <c r="G29" s="30">
        <f t="shared" si="1"/>
        <v>46199</v>
      </c>
      <c r="H29" s="30">
        <f t="shared" si="1"/>
        <v>46200</v>
      </c>
      <c r="I29" s="30">
        <f t="shared" si="1"/>
        <v>46201</v>
      </c>
    </row>
    <row r="30" spans="2:9" x14ac:dyDescent="0.25">
      <c r="B30" s="33"/>
      <c r="C30" s="39" t="s">
        <v>86</v>
      </c>
      <c r="D30" s="39" t="s">
        <v>86</v>
      </c>
      <c r="E30" s="39" t="s">
        <v>86</v>
      </c>
      <c r="F30" s="39" t="s">
        <v>86</v>
      </c>
      <c r="G30" s="39" t="s">
        <v>86</v>
      </c>
      <c r="H30" s="39" t="s">
        <v>87</v>
      </c>
      <c r="I30" s="39" t="s">
        <v>87</v>
      </c>
    </row>
    <row r="31" spans="2:9" x14ac:dyDescent="0.25">
      <c r="B31" s="33"/>
      <c r="C31" s="33"/>
      <c r="D31" s="33"/>
      <c r="E31" s="33"/>
      <c r="F31" s="33"/>
      <c r="G31" s="33"/>
      <c r="H31" s="33"/>
      <c r="I31" s="33"/>
    </row>
    <row r="32" spans="2:9" x14ac:dyDescent="0.25">
      <c r="B32" s="33"/>
      <c r="C32" s="33"/>
      <c r="D32" s="33"/>
      <c r="E32" s="33"/>
      <c r="F32" s="33"/>
      <c r="G32" s="33"/>
      <c r="H32" s="33"/>
      <c r="I32" s="33"/>
    </row>
    <row r="33" spans="2:9" x14ac:dyDescent="0.25">
      <c r="B33" s="33"/>
      <c r="C33" s="33"/>
      <c r="D33" s="33"/>
      <c r="E33" s="33"/>
      <c r="F33" s="33"/>
      <c r="G33" s="33"/>
      <c r="H33" s="33"/>
      <c r="I33" s="33"/>
    </row>
    <row r="34" spans="2:9" x14ac:dyDescent="0.25">
      <c r="B34" s="33"/>
      <c r="C34" s="33"/>
      <c r="D34" s="33"/>
      <c r="E34" s="33"/>
      <c r="F34" s="33"/>
      <c r="G34" s="33"/>
      <c r="H34" s="33"/>
      <c r="I34" s="33"/>
    </row>
    <row r="35" spans="2:9" x14ac:dyDescent="0.25">
      <c r="B35" s="33"/>
      <c r="C35" s="33"/>
      <c r="D35" s="33"/>
      <c r="E35" s="33"/>
      <c r="F35" s="33"/>
      <c r="G35" s="33"/>
      <c r="H35" s="33"/>
      <c r="I35" s="33"/>
    </row>
    <row r="36" spans="2:9" x14ac:dyDescent="0.25">
      <c r="B36" s="33"/>
      <c r="C36" s="33"/>
      <c r="D36" s="33"/>
      <c r="E36" s="33"/>
      <c r="F36" s="33"/>
      <c r="G36" s="33"/>
      <c r="H36" s="33"/>
      <c r="I36" s="33"/>
    </row>
    <row r="37" spans="2:9" x14ac:dyDescent="0.25">
      <c r="B37" s="33"/>
      <c r="C37" s="33"/>
      <c r="D37" s="33"/>
      <c r="E37" s="33"/>
      <c r="F37" s="33"/>
      <c r="G37" s="33"/>
      <c r="H37" s="33"/>
      <c r="I37" s="33"/>
    </row>
    <row r="38" spans="2:9" x14ac:dyDescent="0.25">
      <c r="B38" s="33"/>
      <c r="C38" s="33"/>
      <c r="D38" s="33"/>
      <c r="E38" s="33"/>
      <c r="F38" s="33"/>
      <c r="G38" s="33"/>
      <c r="H38" s="33"/>
      <c r="I38" s="33"/>
    </row>
    <row r="39" spans="2:9" x14ac:dyDescent="0.25">
      <c r="B39" s="33"/>
      <c r="C39" s="33"/>
      <c r="D39" s="33"/>
      <c r="E39" s="33"/>
      <c r="F39" s="33"/>
      <c r="G39" s="33"/>
      <c r="H39" s="33"/>
      <c r="I39" s="33"/>
    </row>
    <row r="40" spans="2:9" x14ac:dyDescent="0.25">
      <c r="B40" s="33"/>
      <c r="C40" s="33"/>
      <c r="D40" s="33"/>
      <c r="E40" s="33"/>
      <c r="F40" s="33"/>
      <c r="G40" s="33"/>
      <c r="H40" s="33"/>
      <c r="I40" s="33"/>
    </row>
    <row r="41" spans="2:9" x14ac:dyDescent="0.25">
      <c r="B41" s="33"/>
      <c r="C41" s="33"/>
      <c r="D41" s="33"/>
      <c r="E41" s="33"/>
      <c r="F41" s="33"/>
      <c r="G41" s="33"/>
      <c r="H41" s="33"/>
      <c r="I41" s="33"/>
    </row>
    <row r="42" spans="2:9" x14ac:dyDescent="0.25">
      <c r="B42" s="33"/>
      <c r="C42" s="33"/>
      <c r="D42" s="33"/>
      <c r="E42" s="33"/>
      <c r="F42" s="33"/>
      <c r="G42" s="33"/>
      <c r="H42" s="33"/>
      <c r="I42" s="33"/>
    </row>
    <row r="43" spans="2:9" x14ac:dyDescent="0.25">
      <c r="B43" s="33"/>
      <c r="C43" s="33"/>
      <c r="D43" s="33"/>
      <c r="E43" s="33"/>
      <c r="F43" s="33"/>
      <c r="G43" s="33"/>
      <c r="H43" s="33"/>
      <c r="I43" s="33"/>
    </row>
    <row r="44" spans="2:9" x14ac:dyDescent="0.25">
      <c r="B44" s="33"/>
      <c r="C44" s="33"/>
      <c r="D44" s="33"/>
      <c r="E44" s="33"/>
      <c r="F44" s="33"/>
      <c r="G44" s="33"/>
      <c r="H44" s="33"/>
      <c r="I44" s="33"/>
    </row>
    <row r="45" spans="2:9" x14ac:dyDescent="0.25">
      <c r="B45" s="33"/>
      <c r="C45" s="33"/>
      <c r="D45" s="33"/>
      <c r="E45" s="33"/>
      <c r="F45" s="33"/>
      <c r="G45" s="33"/>
      <c r="H45" s="33"/>
      <c r="I45" s="33"/>
    </row>
    <row r="46" spans="2:9" x14ac:dyDescent="0.25">
      <c r="B46" s="33"/>
      <c r="C46" s="33"/>
      <c r="D46" s="33"/>
      <c r="E46" s="33"/>
      <c r="F46" s="33"/>
      <c r="G46" s="33"/>
      <c r="H46" s="33"/>
      <c r="I46" s="33"/>
    </row>
  </sheetData>
  <conditionalFormatting sqref="C5:I5 C29:I29">
    <cfRule type="timePeriod" dxfId="0" priority="1" timePeriod="today">
      <formula>FLOOR(C5,1)=TODAY()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Index</vt:lpstr>
      <vt:lpstr>Week 1</vt:lpstr>
      <vt:lpstr>Week 2</vt:lpstr>
      <vt:lpstr>Week 3</vt:lpstr>
      <vt:lpstr>Week 4</vt:lpstr>
      <vt:lpstr>Week 5</vt:lpstr>
      <vt:lpstr>Week 6</vt:lpstr>
      <vt:lpstr>Week 7</vt:lpstr>
      <vt:lpstr>Week 8</vt:lpstr>
      <vt:lpstr>Week 9</vt:lpstr>
      <vt:lpstr>Week 10</vt:lpstr>
      <vt:lpstr>Week 11</vt:lpstr>
      <vt:lpstr>Week 12</vt:lpstr>
      <vt:lpstr>Week 13</vt:lpstr>
      <vt:lpstr>Week 14</vt:lpstr>
      <vt:lpstr>Week 15</vt:lpstr>
      <vt:lpstr>Week 16</vt:lpstr>
      <vt:lpstr>Week 17</vt:lpstr>
      <vt:lpstr>Week 18</vt:lpstr>
      <vt:lpstr>Week 19</vt:lpstr>
      <vt:lpstr>Week 20</vt:lpstr>
      <vt:lpstr>Week 21</vt:lpstr>
      <vt:lpstr>Week 22</vt:lpstr>
      <vt:lpstr>Week 23</vt:lpstr>
      <vt:lpstr>Week 24</vt:lpstr>
      <vt:lpstr>Week 25</vt:lpstr>
      <vt:lpstr>Week 26</vt:lpstr>
      <vt:lpstr>Week 27</vt:lpstr>
      <vt:lpstr>Week 28</vt:lpstr>
      <vt:lpstr>Week 29</vt:lpstr>
      <vt:lpstr>Week 30</vt:lpstr>
      <vt:lpstr>Week 31</vt:lpstr>
      <vt:lpstr>Week 32</vt:lpstr>
      <vt:lpstr>Week 33</vt:lpstr>
      <vt:lpstr>Week 34</vt:lpstr>
      <vt:lpstr>Week 35</vt:lpstr>
      <vt:lpstr>Week 36</vt:lpstr>
      <vt:lpstr>Week 37</vt:lpstr>
      <vt:lpstr>Week 38</vt:lpstr>
      <vt:lpstr>Week 39</vt:lpstr>
      <vt:lpstr>Week 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Seth Van den Bossche</dc:creator>
  <cp:lastModifiedBy>Seth Van den Bossche</cp:lastModifiedBy>
  <dcterms:created xsi:type="dcterms:W3CDTF">2025-09-19T11:16:44Z</dcterms:created>
  <dcterms:modified xsi:type="dcterms:W3CDTF">2026-04-15T15:41:14Z</dcterms:modified>
</cp:coreProperties>
</file>